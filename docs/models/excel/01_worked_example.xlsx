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Inputs" sheetId="2" state="visible" r:id="rId2"/>
    <sheet xmlns:r="http://schemas.openxmlformats.org/officeDocument/2006/relationships" name="Calculation" sheetId="3" state="visible" r:id="rId3"/>
    <sheet xmlns:r="http://schemas.openxmlformats.org/officeDocument/2006/relationships" name="Optimization" sheetId="4" state="visible" r:id="rId4"/>
    <sheet xmlns:r="http://schemas.openxmlformats.org/officeDocument/2006/relationships" name="Resul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;(&quot;$&quot;#,##0);&quot;-&quot;"/>
    <numFmt numFmtId="165" formatCode="0.000"/>
  </numFmts>
  <fonts count="11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b val="1"/>
      <sz val="12"/>
    </font>
    <font>
      <name val="Calibri"/>
      <sz val="11"/>
    </font>
    <font>
      <name val="Calibri"/>
      <b val="1"/>
      <sz val="11"/>
    </font>
    <font>
      <name val="Calibri"/>
      <i val="1"/>
      <color rgb="00666666"/>
      <sz val="10"/>
    </font>
    <font>
      <name val="Calibri"/>
      <color rgb="000000FF"/>
      <sz val="11"/>
    </font>
    <font>
      <name val="Calibri"/>
      <color rgb="00000000"/>
      <sz val="11"/>
    </font>
    <font>
      <name val="Calibri"/>
      <b val="1"/>
      <color rgb="00FFFFFF"/>
      <sz val="12"/>
    </font>
    <font>
      <name val="Calibri"/>
      <color rgb="00008000"/>
      <sz val="11"/>
    </font>
    <font>
      <name val="Consolas"/>
      <sz val="10"/>
    </font>
  </fonts>
  <fills count="7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548235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9ECEF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top" wrapText="1"/>
    </xf>
    <xf numFmtId="0" fontId="4" fillId="2" borderId="0" pivotButton="0" quotePrefix="0" xfId="0"/>
    <xf numFmtId="0" fontId="3" fillId="0" borderId="0" pivotButton="0" quotePrefix="0" xfId="0"/>
    <xf numFmtId="164" fontId="3" fillId="0" borderId="0" applyAlignment="1" pivotButton="0" quotePrefix="0" xfId="0">
      <alignment horizontal="right" vertical="center"/>
    </xf>
    <xf numFmtId="0" fontId="5" fillId="0" borderId="0" applyAlignment="1" pivotButton="0" quotePrefix="0" xfId="0">
      <alignment horizontal="left" vertical="top" wrapText="1"/>
    </xf>
    <xf numFmtId="164" fontId="6" fillId="0" borderId="0" applyAlignment="1" pivotButton="0" quotePrefix="0" xfId="0">
      <alignment horizontal="right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164" fontId="6" fillId="0" borderId="1" applyAlignment="1" pivotButton="0" quotePrefix="0" xfId="0">
      <alignment horizontal="right" vertical="center"/>
    </xf>
    <xf numFmtId="164" fontId="7" fillId="0" borderId="1" applyAlignment="1" pivotButton="0" quotePrefix="0" xfId="0">
      <alignment horizontal="right" vertical="center"/>
    </xf>
    <xf numFmtId="165" fontId="6" fillId="0" borderId="1" applyAlignment="1" pivotButton="0" quotePrefix="0" xfId="0">
      <alignment horizontal="right" vertical="center"/>
    </xf>
    <xf numFmtId="165" fontId="7" fillId="0" borderId="1" applyAlignment="1" pivotButton="0" quotePrefix="0" xfId="0">
      <alignment horizontal="right" vertical="center"/>
    </xf>
    <xf numFmtId="0" fontId="4" fillId="0" borderId="0" pivotButton="0" quotePrefix="0" xfId="0"/>
    <xf numFmtId="164" fontId="4" fillId="0" borderId="1" applyAlignment="1" pivotButton="0" quotePrefix="0" xfId="0">
      <alignment horizontal="right" vertical="center"/>
    </xf>
    <xf numFmtId="165" fontId="6" fillId="0" borderId="0" applyAlignment="1" pivotButton="0" quotePrefix="0" xfId="0">
      <alignment horizontal="right" vertical="center"/>
    </xf>
    <xf numFmtId="164" fontId="8" fillId="3" borderId="0" applyAlignment="1" pivotButton="0" quotePrefix="0" xfId="0">
      <alignment horizontal="right" vertical="center"/>
    </xf>
    <xf numFmtId="0" fontId="2" fillId="6" borderId="0" applyAlignment="1" pivotButton="0" quotePrefix="0" xfId="0">
      <alignment horizontal="left" vertical="center"/>
    </xf>
    <xf numFmtId="0" fontId="4" fillId="6" borderId="0" applyAlignment="1" pivotButton="0" quotePrefix="0" xfId="0">
      <alignment horizontal="left" vertical="center"/>
    </xf>
    <xf numFmtId="164" fontId="9" fillId="0" borderId="1" applyAlignment="1" pivotButton="0" quotePrefix="0" xfId="0">
      <alignment horizontal="right" vertical="center"/>
    </xf>
    <xf numFmtId="1" fontId="6" fillId="4" borderId="1" applyAlignment="1" pivotButton="0" quotePrefix="0" xfId="0">
      <alignment horizontal="center" vertical="center"/>
    </xf>
    <xf numFmtId="0" fontId="5" fillId="6" borderId="0" applyAlignment="1" pivotButton="0" quotePrefix="0" xfId="0">
      <alignment horizontal="left" vertical="center"/>
    </xf>
    <xf numFmtId="0" fontId="3" fillId="5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left" vertical="center"/>
    </xf>
    <xf numFmtId="164" fontId="9" fillId="5" borderId="1" applyAlignment="1" pivotButton="0" quotePrefix="0" xfId="0">
      <alignment horizontal="right" vertical="center"/>
    </xf>
    <xf numFmtId="0" fontId="10" fillId="6" borderId="0" applyAlignment="1" pivotButton="0" quotePrefix="0" xfId="0">
      <alignment horizontal="left" vertical="center"/>
    </xf>
    <xf numFmtId="164" fontId="8" fillId="3" borderId="1" applyAlignment="1" pivotButton="0" quotePrefix="0" xfId="0">
      <alignment horizontal="right" vertical="center"/>
    </xf>
    <xf numFmtId="1" fontId="7" fillId="0" borderId="1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left" vertical="center"/>
    </xf>
    <xf numFmtId="0" fontId="6" fillId="0" borderId="1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164" fontId="9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3">
    <dxf>
      <font>
        <name val="Calibri"/>
        <b val="1"/>
        <color rgb="00006100"/>
        <sz val="11"/>
      </font>
      <fill>
        <patternFill patternType="solid">
          <fgColor rgb="00C6EFCE"/>
        </patternFill>
      </fill>
    </dxf>
    <dxf>
      <font>
        <name val="Calibri"/>
        <b val="1"/>
        <color rgb="009C0006"/>
        <sz val="11"/>
      </font>
      <fill>
        <patternFill patternType="solid">
          <fgColor rgb="00FFC7CE"/>
        </patternFill>
      </fill>
    </dxf>
    <dxf>
      <font>
        <name val="Calibri"/>
        <b val="1"/>
        <color rgb="009C5700"/>
        <sz val="11"/>
      </font>
      <fill>
        <patternFill patternType="solid">
          <fgColor rgb="00FFF2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F45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2" customWidth="1" min="3" max="3"/>
    <col width="22" customWidth="1" min="4" max="4"/>
    <col width="22" customWidth="1" min="5" max="5"/>
    <col width="14" customWidth="1" min="6" max="6"/>
  </cols>
  <sheetData>
    <row r="2" ht="22" customHeight="1">
      <c r="B2" s="1" t="inlineStr">
        <is>
          <t>MCBOMs Worked Example — Excel Validation</t>
        </is>
      </c>
    </row>
    <row r="4">
      <c r="B4" s="2" t="inlineStr">
        <is>
          <t>Purpose</t>
        </is>
      </c>
    </row>
    <row r="5" ht="18" customHeight="1">
      <c r="B5" s="3" t="inlineStr">
        <is>
          <t>This workbook implements the MCBOMs MILP — the same Mixed-Integer Linear Program specified in Chapter 2 of the Methodology document and implemented in Python in the project's optimizer module — using the Solver add-in built into Microsoft Excel. It validates the MILP against the worked example presented in Section 2.3.7 of the Methodology, which provides a hand-calculated reference answer. All five forms of the MCBOMs MILP — Python, AMPL, GAMS, LP, and this Excel implementation — produce numerically identical results. Project website: https://ttitamu.github.io/mcboms-optimization.</t>
        </is>
      </c>
    </row>
    <row r="6" ht="18" customHeight="1"/>
    <row r="7" ht="18" customHeight="1"/>
    <row r="8" ht="18" customHeight="1"/>
    <row r="9" ht="18" customHeight="1"/>
    <row r="11">
      <c r="B11" s="2" t="inlineStr">
        <is>
          <t>Problem</t>
        </is>
      </c>
    </row>
    <row r="12" ht="18" customHeight="1">
      <c r="B12" s="3" t="inlineStr">
        <is>
          <t>A single 5-mile rural two-lane highway segment is considered for a lane-widening treatment (10 ft → 12 ft, CMF = 0.88). The optimization decides whether to implement the treatment given a $1,000,000 budget. Expected outcome: fund the treatment (its present-value safety benefit exceeds its cost).</t>
        </is>
      </c>
    </row>
    <row r="13" ht="18" customHeight="1"/>
    <row r="14" ht="18" customHeight="1"/>
    <row r="15" ht="18" customHeight="1"/>
    <row r="17">
      <c r="B17" s="2" t="inlineStr">
        <is>
          <t>Expected result</t>
        </is>
      </c>
    </row>
    <row r="18">
      <c r="B18" s="4" t="inlineStr">
        <is>
          <t>Quantity</t>
        </is>
      </c>
      <c r="C18" s="4" t="inlineStr">
        <is>
          <t>Value</t>
        </is>
      </c>
    </row>
    <row r="19">
      <c r="B19" s="5" t="inlineStr">
        <is>
          <t>Annual safety benefit</t>
        </is>
      </c>
      <c r="C19" s="6" t="n">
        <v>211810</v>
      </c>
    </row>
    <row r="20">
      <c r="B20" s="5" t="inlineStr">
        <is>
          <t>Present-value safety benefit (PWF × annual)</t>
        </is>
      </c>
      <c r="C20" s="6" t="n">
        <v>2243914</v>
      </c>
    </row>
    <row r="21">
      <c r="B21" s="5" t="inlineStr">
        <is>
          <t>Treatment cost</t>
        </is>
      </c>
      <c r="C21" s="6" t="n">
        <v>750000</v>
      </c>
    </row>
    <row r="22">
      <c r="B22" s="5" t="inlineStr">
        <is>
          <t>Net benefit if treatment funded</t>
        </is>
      </c>
      <c r="C22" s="6" t="n">
        <v>1493914</v>
      </c>
    </row>
    <row r="23">
      <c r="B23" s="5" t="inlineStr">
        <is>
          <t>Optimal Solver objective value</t>
        </is>
      </c>
      <c r="C23" s="6" t="n">
        <v>1493914</v>
      </c>
    </row>
    <row r="26">
      <c r="B26" s="2" t="inlineStr">
        <is>
          <t>How to run</t>
        </is>
      </c>
    </row>
    <row r="27" ht="32" customHeight="1">
      <c r="B27" s="3" t="inlineStr">
        <is>
          <t>1. Open this workbook in Microsoft Excel (desktop). The Solver add-in must be enabled — see 'How to enable the Solver add-in' below if Solver does not appear on the Data tab.</t>
        </is>
      </c>
    </row>
    <row r="28" ht="32" customHeight="1">
      <c r="B28" s="3" t="inlineStr">
        <is>
          <t>2. Go to the 'Optimization' sheet. Verify that the decision-variable cells (yellow-shaded, 'Fund? (0/1)' column) are currently 0.</t>
        </is>
      </c>
    </row>
    <row r="29" ht="32" customHeight="1">
      <c r="B29" s="3" t="inlineStr">
        <is>
          <t>3. On the Data tab, click Solver. The Solver Parameters dialog opens.</t>
        </is>
      </c>
    </row>
    <row r="30" ht="32" customHeight="1">
      <c r="B30" s="3" t="inlineStr">
        <is>
          <t>4. Configure Solver per the instructions on the right-side panel of the 'Optimization' sheet (objective cell, decision range, constraints).</t>
        </is>
      </c>
    </row>
    <row r="31" ht="32" customHeight="1">
      <c r="B31" s="3" t="inlineStr">
        <is>
          <t>5. Click Solve. When the Solver Results dialog appears, choose 'Keep Solver Solution' and click OK.</t>
        </is>
      </c>
    </row>
    <row r="32" ht="32" customHeight="1">
      <c r="B32" s="3" t="inlineStr">
        <is>
          <t>6. Verify the answer matches the 'Expected result' table above. The 'Results' sheet shows the selected alternatives and a match indicator that displays 'Run Solver' (yellow) before Solver has been used, 'PASS' (green) once the optimal answer is reached, or 'FAIL' (red) if the answer does not match.</t>
        </is>
      </c>
    </row>
    <row r="34">
      <c r="B34" s="2" t="inlineStr">
        <is>
          <t>How to enable the Solver add-in (one-time setup)</t>
        </is>
      </c>
    </row>
    <row r="35" ht="18" customHeight="1">
      <c r="B35" s="3" t="inlineStr">
        <is>
          <t>Skip this section if the Solver button is already visible on the Data tab.</t>
        </is>
      </c>
    </row>
    <row r="36" ht="18" customHeight="1">
      <c r="B36" s="3" t="inlineStr">
        <is>
          <t>1. File → Options → Add-ins.</t>
        </is>
      </c>
    </row>
    <row r="37" ht="18" customHeight="1">
      <c r="B37" s="3" t="inlineStr">
        <is>
          <t>2. At the bottom, set Manage to 'Excel Add-ins' and click Go.</t>
        </is>
      </c>
    </row>
    <row r="38" ht="18" customHeight="1">
      <c r="B38" s="3" t="inlineStr">
        <is>
          <t>3. Check the 'Solver Add-in' box and click OK.</t>
        </is>
      </c>
    </row>
    <row r="39" ht="18" customHeight="1">
      <c r="B39" s="3" t="inlineStr">
        <is>
          <t>4. The Solver button now appears on the Data tab in the Analyze group.</t>
        </is>
      </c>
    </row>
    <row r="41">
      <c r="B41" s="2" t="inlineStr">
        <is>
          <t>References</t>
        </is>
      </c>
    </row>
    <row r="42" ht="28" customHeight="1">
      <c r="B42" s="3" t="inlineStr">
        <is>
          <t>MCBOMs Methodology, Section 2.3.7 — worked example with manual derivation</t>
        </is>
      </c>
    </row>
    <row r="43" ht="28" customHeight="1">
      <c r="B43" s="3" t="inlineStr">
        <is>
          <t>MCBOMs project website — https://ttitamu.github.io/mcboms-optimization</t>
        </is>
      </c>
    </row>
    <row r="44" ht="28" customHeight="1">
      <c r="B44" s="3" t="inlineStr">
        <is>
          <t>Unit crash costs — USDOT BCA Guidance May 2025, Appendix A, Table A-1</t>
        </is>
      </c>
    </row>
    <row r="45" ht="28" customHeight="1">
      <c r="B45" s="3" t="inlineStr">
        <is>
          <t>Discount rate (7% real, 2023 dollars) — USDOT BCA Guidance May 2025, Section 4.3</t>
        </is>
      </c>
    </row>
  </sheetData>
  <mergeCells count="17">
    <mergeCell ref="B30:F30"/>
    <mergeCell ref="B44:F44"/>
    <mergeCell ref="B43:F43"/>
    <mergeCell ref="B29:F29"/>
    <mergeCell ref="B39:F39"/>
    <mergeCell ref="B38:F38"/>
    <mergeCell ref="B12:F15"/>
    <mergeCell ref="B28:F28"/>
    <mergeCell ref="B42:F42"/>
    <mergeCell ref="B37:F37"/>
    <mergeCell ref="B31:F31"/>
    <mergeCell ref="B45:F45"/>
    <mergeCell ref="B36:F36"/>
    <mergeCell ref="B32:F32"/>
    <mergeCell ref="B5:F9"/>
    <mergeCell ref="B27:F27"/>
    <mergeCell ref="B35:F3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K12"/>
  <sheetViews>
    <sheetView workbookViewId="0">
      <selection activeCell="A1" sqref="A1"/>
    </sheetView>
  </sheetViews>
  <sheetFormatPr baseColWidth="8" defaultRowHeight="15"/>
  <cols>
    <col width="3" customWidth="1" min="1" max="1"/>
    <col width="6" customWidth="1" min="2" max="2"/>
    <col width="6" customWidth="1" min="3" max="3"/>
    <col width="48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2" ht="22" customHeight="1">
      <c r="B2" s="1" t="inlineStr">
        <is>
          <t>Inputs</t>
        </is>
      </c>
    </row>
    <row r="3">
      <c r="B3" s="7" t="inlineStr">
        <is>
          <t>Cost and benefit values for the worked example. The Calculation sheet shows the derivation of the $2,243,914 present-value safety benefit from the per-severity crash data.</t>
        </is>
      </c>
    </row>
    <row r="4"/>
    <row r="6">
      <c r="B6" s="2" t="inlineStr">
        <is>
          <t>Budget</t>
        </is>
      </c>
      <c r="E6" s="8" t="n">
        <v>1000000</v>
      </c>
    </row>
    <row r="10">
      <c r="B10" s="9" t="inlineStr">
        <is>
          <t>Site</t>
        </is>
      </c>
      <c r="C10" s="9" t="inlineStr">
        <is>
          <t>Alt</t>
        </is>
      </c>
      <c r="D10" s="9" t="inlineStr">
        <is>
          <t>Description</t>
        </is>
      </c>
      <c r="E10" s="9" t="inlineStr">
        <is>
          <t>Resurf cost</t>
        </is>
      </c>
      <c r="F10" s="9" t="inlineStr">
        <is>
          <t>Safety cost</t>
        </is>
      </c>
      <c r="G10" s="9" t="inlineStr">
        <is>
          <t>Total cost</t>
        </is>
      </c>
      <c r="H10" s="9" t="inlineStr">
        <is>
          <t>Safety ben</t>
        </is>
      </c>
      <c r="I10" s="9" t="inlineStr">
        <is>
          <t>Ops ben</t>
        </is>
      </c>
      <c r="J10" s="9" t="inlineStr">
        <is>
          <t>Total ben</t>
        </is>
      </c>
      <c r="K10" s="9" t="inlineStr">
        <is>
          <t>Net benefit</t>
        </is>
      </c>
    </row>
    <row r="11">
      <c r="B11" s="10" t="n">
        <v>1</v>
      </c>
      <c r="C11" s="10" t="n">
        <v>0</v>
      </c>
      <c r="D11" s="11" t="inlineStr">
        <is>
          <t>Do nothing</t>
        </is>
      </c>
      <c r="E11" s="12" t="n">
        <v>0</v>
      </c>
      <c r="F11" s="12" t="n">
        <v>0</v>
      </c>
      <c r="G11" s="13">
        <f>E11+F11</f>
        <v/>
      </c>
      <c r="H11" s="12" t="n">
        <v>0</v>
      </c>
      <c r="I11" s="12" t="n">
        <v>0</v>
      </c>
      <c r="J11" s="13">
        <f>H11+I11</f>
        <v/>
      </c>
      <c r="K11" s="13">
        <f>J11-G11</f>
        <v/>
      </c>
    </row>
    <row r="12">
      <c r="B12" s="10" t="n">
        <v>1</v>
      </c>
      <c r="C12" s="10" t="n">
        <v>1</v>
      </c>
      <c r="D12" s="11" t="inlineStr">
        <is>
          <t>Lane widening 10ft → 12ft (CMF 0.88)</t>
        </is>
      </c>
      <c r="E12" s="12" t="n">
        <v>0</v>
      </c>
      <c r="F12" s="12" t="n">
        <v>750000</v>
      </c>
      <c r="G12" s="13">
        <f>E12+F12</f>
        <v/>
      </c>
      <c r="H12" s="12" t="n">
        <v>2243914</v>
      </c>
      <c r="I12" s="12" t="n">
        <v>0</v>
      </c>
      <c r="J12" s="13">
        <f>H12+I12</f>
        <v/>
      </c>
      <c r="K12" s="13">
        <f>J12-G12</f>
        <v/>
      </c>
    </row>
  </sheetData>
  <mergeCells count="1">
    <mergeCell ref="B3:K4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H16"/>
  <sheetViews>
    <sheetView workbookViewId="0">
      <selection activeCell="A1" sqref="A1"/>
    </sheetView>
  </sheetViews>
  <sheetFormatPr baseColWidth="8" defaultRowHeight="15"/>
  <cols>
    <col width="3" customWidth="1" min="1" max="1"/>
    <col width="36" customWidth="1" min="2" max="2"/>
    <col width="14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</cols>
  <sheetData>
    <row r="2" ht="22" customHeight="1">
      <c r="B2" s="1" t="inlineStr">
        <is>
          <t>Calculation: Present-Value Safety Benefit</t>
        </is>
      </c>
    </row>
    <row r="3">
      <c r="B3" s="7" t="inlineStr">
        <is>
          <t>Reproduces Methodology Section 2.3.7 derivation of the safety benefit. Annual safety benefit × PWF(0.07, 20) = $211,810 × 10.594 = $2,243,914.</t>
        </is>
      </c>
    </row>
    <row r="4"/>
    <row r="6" ht="24" customHeight="1">
      <c r="B6" s="2" t="inlineStr">
        <is>
          <t>Per-severity calculation</t>
        </is>
      </c>
    </row>
    <row r="7">
      <c r="B7" s="9" t="inlineStr">
        <is>
          <t>Severity</t>
        </is>
      </c>
      <c r="C7" s="9" t="inlineStr">
        <is>
          <t>Share</t>
        </is>
      </c>
      <c r="D7" s="9" t="inlineStr">
        <is>
          <t>E_no-build</t>
        </is>
      </c>
      <c r="E7" s="9" t="inlineStr">
        <is>
          <t>E_build (× CMF)</t>
        </is>
      </c>
      <c r="F7" s="9" t="inlineStr">
        <is>
          <t>Reduction</t>
        </is>
      </c>
      <c r="G7" s="9" t="inlineStr">
        <is>
          <t>Unit cost</t>
        </is>
      </c>
      <c r="H7" s="9" t="inlineStr">
        <is>
          <t>Annual benefit</t>
        </is>
      </c>
    </row>
    <row r="8">
      <c r="B8" s="10" t="inlineStr">
        <is>
          <t>K</t>
        </is>
      </c>
      <c r="C8" s="14" t="n">
        <v>0.013</v>
      </c>
      <c r="D8" s="14" t="n">
        <v>0.078</v>
      </c>
      <c r="E8" s="15">
        <f>D8*0.88</f>
        <v/>
      </c>
      <c r="F8" s="15">
        <f>D8-E8</f>
        <v/>
      </c>
      <c r="G8" s="12" t="n">
        <v>13200000</v>
      </c>
      <c r="H8" s="13">
        <f>F8*G8</f>
        <v/>
      </c>
    </row>
    <row r="9">
      <c r="B9" s="10" t="inlineStr">
        <is>
          <t>A</t>
        </is>
      </c>
      <c r="C9" s="14" t="n">
        <v>0.065</v>
      </c>
      <c r="D9" s="14" t="n">
        <v>0.39</v>
      </c>
      <c r="E9" s="15">
        <f>D9*0.88</f>
        <v/>
      </c>
      <c r="F9" s="15">
        <f>D9-E9</f>
        <v/>
      </c>
      <c r="G9" s="12" t="n">
        <v>1254700</v>
      </c>
      <c r="H9" s="13">
        <f>F9*G9</f>
        <v/>
      </c>
    </row>
    <row r="10">
      <c r="B10" s="10" t="inlineStr">
        <is>
          <t>B</t>
        </is>
      </c>
      <c r="C10" s="14" t="n">
        <v>0.095</v>
      </c>
      <c r="D10" s="14" t="n">
        <v>0.57</v>
      </c>
      <c r="E10" s="15">
        <f>D10*0.88</f>
        <v/>
      </c>
      <c r="F10" s="15">
        <f>D10-E10</f>
        <v/>
      </c>
      <c r="G10" s="12" t="n">
        <v>246900</v>
      </c>
      <c r="H10" s="13">
        <f>F10*G10</f>
        <v/>
      </c>
    </row>
    <row r="11">
      <c r="B11" s="10" t="inlineStr">
        <is>
          <t>C</t>
        </is>
      </c>
      <c r="C11" s="14" t="n">
        <v>0.117</v>
      </c>
      <c r="D11" s="14" t="n">
        <v>0.702</v>
      </c>
      <c r="E11" s="15">
        <f>D11*0.88</f>
        <v/>
      </c>
      <c r="F11" s="15">
        <f>D11-E11</f>
        <v/>
      </c>
      <c r="G11" s="12" t="n">
        <v>118000</v>
      </c>
      <c r="H11" s="13">
        <f>F11*G11</f>
        <v/>
      </c>
    </row>
    <row r="12">
      <c r="B12" s="10" t="inlineStr">
        <is>
          <t>O</t>
        </is>
      </c>
      <c r="C12" s="14" t="n">
        <v>0.71</v>
      </c>
      <c r="D12" s="14" t="n">
        <v>4.26</v>
      </c>
      <c r="E12" s="15">
        <f>D12*0.88</f>
        <v/>
      </c>
      <c r="F12" s="15">
        <f>D12-E12</f>
        <v/>
      </c>
      <c r="G12" s="12" t="n">
        <v>5300</v>
      </c>
      <c r="H12" s="13">
        <f>F12*G12</f>
        <v/>
      </c>
    </row>
    <row r="14">
      <c r="B14" s="16" t="inlineStr">
        <is>
          <t>Annual safety benefit</t>
        </is>
      </c>
      <c r="H14" s="17">
        <f>SUM(H8:H12)</f>
        <v/>
      </c>
    </row>
    <row r="15">
      <c r="B15" s="5" t="inlineStr">
        <is>
          <t>PWF(0.07, 20)</t>
        </is>
      </c>
      <c r="H15" s="18" t="n">
        <v>10.594</v>
      </c>
    </row>
    <row r="16">
      <c r="B16" s="16" t="inlineStr">
        <is>
          <t>Present-value safety benefit</t>
        </is>
      </c>
      <c r="H16" s="19">
        <f>H14*H15</f>
        <v/>
      </c>
    </row>
  </sheetData>
  <mergeCells count="1">
    <mergeCell ref="B3:H4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T37"/>
  <sheetViews>
    <sheetView workbookViewId="0">
      <selection activeCell="A1" sqref="A1"/>
    </sheetView>
  </sheetViews>
  <sheetFormatPr baseColWidth="8" defaultRowHeight="15"/>
  <cols>
    <col width="3" customWidth="1" min="1" max="1"/>
    <col width="24" customWidth="1" min="2" max="2"/>
    <col width="28" customWidth="1" min="3" max="3"/>
    <col width="14" customWidth="1" min="4" max="4"/>
    <col width="4" customWidth="1" min="5" max="5"/>
    <col width="4" customWidth="1" min="6" max="6"/>
    <col width="4" customWidth="1" min="7" max="7"/>
    <col width="4" customWidth="1" min="8" max="8"/>
    <col width="4" customWidth="1" min="9" max="9"/>
    <col width="4" customWidth="1" min="10" max="10"/>
    <col width="4" customWidth="1" min="11" max="11"/>
    <col width="4" customWidth="1" min="12" max="12"/>
    <col width="4" customWidth="1" min="13" max="13"/>
    <col width="6" customWidth="1" min="14" max="14"/>
    <col width="6" customWidth="1" min="15" max="15"/>
    <col width="48" customWidth="1" min="16" max="16"/>
    <col width="14" customWidth="1" min="17" max="17"/>
    <col width="14" customWidth="1" min="18" max="18"/>
    <col width="14" customWidth="1" min="19" max="19"/>
    <col width="12" customWidth="1" min="20" max="20"/>
  </cols>
  <sheetData>
    <row r="2" ht="22" customHeight="1">
      <c r="B2" s="1" t="inlineStr">
        <is>
          <t>Optimization (MILP)</t>
        </is>
      </c>
    </row>
    <row r="5" ht="24" customHeight="1">
      <c r="B5" s="20" t="inlineStr">
        <is>
          <t>Mathematical Formulation</t>
        </is>
      </c>
      <c r="N5" s="9" t="inlineStr">
        <is>
          <t>Site</t>
        </is>
      </c>
      <c r="O5" s="9" t="inlineStr">
        <is>
          <t>Alt</t>
        </is>
      </c>
      <c r="P5" s="9" t="inlineStr">
        <is>
          <t>Description</t>
        </is>
      </c>
      <c r="Q5" s="9" t="inlineStr">
        <is>
          <t>Cost</t>
        </is>
      </c>
      <c r="R5" s="9" t="inlineStr">
        <is>
          <t>Total benefit</t>
        </is>
      </c>
      <c r="S5" s="9" t="inlineStr">
        <is>
          <t>Net benefit</t>
        </is>
      </c>
      <c r="T5" s="9" t="inlineStr">
        <is>
          <t>Fund? (0/1)</t>
        </is>
      </c>
    </row>
    <row r="6" ht="22" customHeight="1">
      <c r="B6" s="21" t="inlineStr">
        <is>
          <t>Decision variables</t>
        </is>
      </c>
      <c r="N6" s="10" t="n">
        <v>1</v>
      </c>
      <c r="O6" s="10" t="n">
        <v>0</v>
      </c>
      <c r="P6" s="11" t="inlineStr">
        <is>
          <t>Do nothing</t>
        </is>
      </c>
      <c r="Q6" s="22">
        <f>Inputs!G11</f>
        <v/>
      </c>
      <c r="R6" s="22">
        <f>Inputs!J11</f>
        <v/>
      </c>
      <c r="S6" s="22">
        <f>Inputs!K11</f>
        <v/>
      </c>
      <c r="T6" s="23" t="n">
        <v>0</v>
      </c>
    </row>
    <row r="7" ht="18" customHeight="1">
      <c r="B7" s="24" t="inlineStr">
        <is>
          <t>x_ij ∈ {0, 1} for each alternative j at site i (range T6:T7, yellow cells)</t>
        </is>
      </c>
      <c r="N7" s="25" t="n">
        <v>1</v>
      </c>
      <c r="O7" s="25" t="n">
        <v>1</v>
      </c>
      <c r="P7" s="26" t="inlineStr">
        <is>
          <t>Lane widening 10ft → 12ft (CMF 0.88)</t>
        </is>
      </c>
      <c r="Q7" s="27">
        <f>Inputs!G12</f>
        <v/>
      </c>
      <c r="R7" s="27">
        <f>Inputs!J12</f>
        <v/>
      </c>
      <c r="S7" s="27">
        <f>Inputs!K12</f>
        <v/>
      </c>
      <c r="T7" s="23" t="n">
        <v>0</v>
      </c>
    </row>
    <row r="9" ht="22" customHeight="1">
      <c r="B9" s="21" t="inlineStr">
        <is>
          <t>Objective</t>
        </is>
      </c>
    </row>
    <row r="10" ht="18" customHeight="1">
      <c r="B10" s="28" t="inlineStr">
        <is>
          <t>Maximize:  Z = Σ_i Σ_j  NetBenefit_ij × x_ij</t>
        </is>
      </c>
      <c r="N10" s="2" t="inlineStr">
        <is>
          <t>Aggregates</t>
        </is>
      </c>
    </row>
    <row r="11" ht="18" customHeight="1">
      <c r="B11" s="24" t="inlineStr">
        <is>
          <t>(computed at cell Q13)</t>
        </is>
      </c>
      <c r="N11" s="5" t="inlineStr">
        <is>
          <t>Total cost</t>
        </is>
      </c>
      <c r="Q11" s="13">
        <f>SUMPRODUCT(Q6:Q7,T6:T7)</f>
        <v/>
      </c>
    </row>
    <row r="12" ht="18" customHeight="1">
      <c r="N12" s="5" t="inlineStr">
        <is>
          <t>Total benefit</t>
        </is>
      </c>
      <c r="Q12" s="13">
        <f>SUMPRODUCT(R6:R7,T6:T7)</f>
        <v/>
      </c>
    </row>
    <row r="13" ht="22" customHeight="1">
      <c r="B13" s="21" t="inlineStr">
        <is>
          <t>Subject to</t>
        </is>
      </c>
      <c r="N13" s="16" t="inlineStr">
        <is>
          <t>Net benefit (objective)</t>
        </is>
      </c>
      <c r="Q13" s="29">
        <f>SUMPRODUCT(S6:S7,T6:T7)</f>
        <v/>
      </c>
    </row>
    <row r="14" ht="18" customHeight="1">
      <c r="B14" s="28" t="inlineStr">
        <is>
          <t>Budget:    Σ_i Σ_j  Cost_ij × x_ij  ≤  Budget</t>
        </is>
      </c>
    </row>
    <row r="15" ht="18" customHeight="1">
      <c r="B15" s="24" t="inlineStr">
        <is>
          <t>(computed at Q11, ≤ $1,000,000)</t>
        </is>
      </c>
    </row>
    <row r="16" ht="18" customHeight="1">
      <c r="B16" s="28" t="inlineStr">
        <is>
          <t>Mutex:     Σ_j  x_ij  ≤  1   for each site i</t>
        </is>
      </c>
      <c r="N16" s="2" t="inlineStr">
        <is>
          <t>Pick at most one alternative per site</t>
        </is>
      </c>
    </row>
    <row r="17" ht="18" customHeight="1">
      <c r="B17" s="24" t="inlineStr">
        <is>
          <t>(constraint cells, O18:O18)</t>
        </is>
      </c>
      <c r="N17" s="9" t="inlineStr">
        <is>
          <t>Site</t>
        </is>
      </c>
      <c r="O17" s="9" t="inlineStr">
        <is>
          <t>Sum of decisions</t>
        </is>
      </c>
      <c r="P17" s="9" t="inlineStr">
        <is>
          <t>Limit</t>
        </is>
      </c>
    </row>
    <row r="18" ht="18" customHeight="1">
      <c r="B18" s="28" t="inlineStr">
        <is>
          <t>Binary:    x_ij ∈ {0, 1}</t>
        </is>
      </c>
      <c r="N18" s="10" t="n">
        <v>1</v>
      </c>
      <c r="O18" s="30">
        <f>SUM(T6,T7)</f>
        <v/>
      </c>
      <c r="P18" s="31" t="n">
        <v>1</v>
      </c>
    </row>
    <row r="20" ht="24" customHeight="1">
      <c r="B20" s="20" t="inlineStr">
        <is>
          <t>Solver Setup</t>
        </is>
      </c>
    </row>
    <row r="21" ht="22" customHeight="1">
      <c r="B21" s="21" t="inlineStr">
        <is>
          <t>Top of Solver dialog</t>
        </is>
      </c>
    </row>
    <row r="22" ht="22" customHeight="1">
      <c r="B22" s="9" t="inlineStr">
        <is>
          <t>Field</t>
        </is>
      </c>
      <c r="C22" s="9" t="inlineStr">
        <is>
          <t>Value</t>
        </is>
      </c>
    </row>
    <row r="23" ht="18" customHeight="1">
      <c r="B23" s="11" t="inlineStr">
        <is>
          <t>Set Objective</t>
        </is>
      </c>
      <c r="C23" s="32" t="inlineStr">
        <is>
          <t>$Q$13</t>
        </is>
      </c>
    </row>
    <row r="24" ht="18" customHeight="1">
      <c r="B24" s="11" t="inlineStr">
        <is>
          <t>To</t>
        </is>
      </c>
      <c r="C24" s="32" t="inlineStr">
        <is>
          <t>Max  (radio button)</t>
        </is>
      </c>
    </row>
    <row r="25" ht="18" customHeight="1">
      <c r="B25" s="11" t="inlineStr">
        <is>
          <t>By Changing Cells</t>
        </is>
      </c>
      <c r="C25" s="32" t="inlineStr">
        <is>
          <t>$T$6:$T$7</t>
        </is>
      </c>
    </row>
    <row r="26" ht="18" customHeight="1">
      <c r="B26" s="11" t="inlineStr">
        <is>
          <t>Solving Method</t>
        </is>
      </c>
      <c r="C26" s="32" t="inlineStr">
        <is>
          <t>Simplex LP</t>
        </is>
      </c>
    </row>
    <row r="29" ht="22" customHeight="1">
      <c r="B29" s="21" t="inlineStr">
        <is>
          <t>Constraints (click 'Add' for each row)</t>
        </is>
      </c>
    </row>
    <row r="30" ht="22" customHeight="1">
      <c r="B30" s="9" t="inlineStr">
        <is>
          <t>Cell Reference</t>
        </is>
      </c>
      <c r="C30" s="9" t="inlineStr">
        <is>
          <t>Op</t>
        </is>
      </c>
      <c r="D30" s="9" t="inlineStr">
        <is>
          <t>Constraint</t>
        </is>
      </c>
    </row>
    <row r="31" ht="18" customHeight="1">
      <c r="B31" s="32" t="inlineStr">
        <is>
          <t>$T$6:$T$7</t>
        </is>
      </c>
      <c r="C31" s="33" t="inlineStr">
        <is>
          <t>bin</t>
        </is>
      </c>
      <c r="D31" s="33" t="inlineStr">
        <is>
          <t>—</t>
        </is>
      </c>
    </row>
    <row r="32" ht="18" customHeight="1">
      <c r="B32" s="32" t="inlineStr">
        <is>
          <t>$Q$11</t>
        </is>
      </c>
      <c r="C32" s="33" t="inlineStr">
        <is>
          <t>&lt;=</t>
        </is>
      </c>
      <c r="D32" s="33" t="inlineStr">
        <is>
          <t>1000000</t>
        </is>
      </c>
    </row>
    <row r="33" ht="18" customHeight="1">
      <c r="B33" s="32" t="inlineStr">
        <is>
          <t>$O$18</t>
        </is>
      </c>
      <c r="C33" s="33" t="inlineStr">
        <is>
          <t>&lt;=</t>
        </is>
      </c>
      <c r="D33" s="33" t="inlineStr">
        <is>
          <t>1</t>
        </is>
      </c>
    </row>
    <row r="35" ht="22" customHeight="1">
      <c r="B35" s="21" t="inlineStr">
        <is>
          <t>Bottom of dialog</t>
        </is>
      </c>
    </row>
    <row r="36" ht="18" customHeight="1">
      <c r="B36" s="11" t="inlineStr">
        <is>
          <t>Make Unconstrained Vars Non-Negative</t>
        </is>
      </c>
      <c r="C36" s="32" t="inlineStr">
        <is>
          <t>checked (default)</t>
        </is>
      </c>
    </row>
    <row r="37" ht="18" customHeight="1">
      <c r="B37" s="11" t="inlineStr">
        <is>
          <t>Solving Method</t>
        </is>
      </c>
      <c r="C37" s="32" t="inlineStr">
        <is>
          <t>Simplex LP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13"/>
  <sheetViews>
    <sheetView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18" customWidth="1" min="3" max="3"/>
    <col width="18" customWidth="1" min="4" max="4"/>
  </cols>
  <sheetData>
    <row r="2" ht="22" customHeight="1">
      <c r="B2" s="1" t="inlineStr">
        <is>
          <t>Results</t>
        </is>
      </c>
    </row>
    <row r="4">
      <c r="B4" s="2" t="inlineStr">
        <is>
          <t>Summary</t>
        </is>
      </c>
    </row>
    <row r="5">
      <c r="B5" s="16" t="inlineStr">
        <is>
          <t>Match indicator</t>
        </is>
      </c>
      <c r="C5" s="34">
        <f>IF(SUM(Optimization!T6:T7)=0,"Run Solver",IF(ROUND(Optimization!Q13,0)=ROUND(D5,0),"PASS","FAIL"))</f>
        <v/>
      </c>
      <c r="D5" s="6" t="n">
        <v>1493914</v>
      </c>
    </row>
    <row r="7">
      <c r="B7" s="35" t="inlineStr">
        <is>
          <t>Quantity</t>
        </is>
      </c>
      <c r="C7" s="35" t="inlineStr">
        <is>
          <t>Solver result</t>
        </is>
      </c>
      <c r="D7" s="35" t="inlineStr">
        <is>
          <t>Expected</t>
        </is>
      </c>
    </row>
    <row r="8">
      <c r="B8" s="5" t="inlineStr">
        <is>
          <t>Total cost</t>
        </is>
      </c>
      <c r="C8" s="36">
        <f>Optimization!Q11</f>
        <v/>
      </c>
      <c r="D8" s="6" t="n">
        <v>750000</v>
      </c>
    </row>
    <row r="9">
      <c r="B9" s="5" t="inlineStr">
        <is>
          <t>Total net benefit</t>
        </is>
      </c>
      <c r="C9" s="36">
        <f>Optimization!Q13</f>
        <v/>
      </c>
      <c r="D9" s="6" t="n">
        <v>1493914</v>
      </c>
    </row>
    <row r="11">
      <c r="B11" s="2" t="inlineStr">
        <is>
          <t>Selected alternatives</t>
        </is>
      </c>
    </row>
    <row r="12">
      <c r="B12" s="35" t="inlineStr">
        <is>
          <t>Site</t>
        </is>
      </c>
      <c r="C12" s="35" t="inlineStr">
        <is>
          <t>Alt</t>
        </is>
      </c>
      <c r="D12" s="35" t="inlineStr">
        <is>
          <t>Description</t>
        </is>
      </c>
    </row>
    <row r="13">
      <c r="B13" s="37" t="n">
        <v>1</v>
      </c>
      <c r="C13" s="38">
        <f>Optimization!T6*Optimization!O6+Optimization!T7*Optimization!O7</f>
        <v/>
      </c>
      <c r="D13" s="39">
        <f>IF(Optimization!T6=1,Optimization!P6,IF(Optimization!T7=1,Optimization!P7,"(none selected)"))</f>
        <v/>
      </c>
    </row>
  </sheetData>
  <conditionalFormatting sqref="C5">
    <cfRule type="cellIs" priority="1" operator="equal" dxfId="0">
      <formula>"PASS"</formula>
    </cfRule>
    <cfRule type="cellIs" priority="2" operator="equal" dxfId="1">
      <formula>"FAIL"</formula>
    </cfRule>
    <cfRule type="cellIs" priority="3" operator="equal" dxfId="2">
      <formula>"Run Solver"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Siddiqui, Ameen</dc:creator>
  <dc:title xmlns:dc="http://purl.org/dc/elements/1.1/">MCBOMs Worked Example — Excel Validation Workbook</dc:title>
  <dc:description xmlns:dc="http://purl.org/dc/elements/1.1/">Texas A&amp;M Transportation Institute. Excel implementation of the MCBOMs MILP (Chapter 2 of the Methodology document; Python in optimizer.py) for the worked example in Methodology Section 2.3.7. Single segment, $1M budget, expected net benefit $1,493,914.</dc:description>
  <dc:subject xmlns:dc="http://purl.org/dc/elements/1.1/">MCBOMs Task 4 Deliverable</dc:subject>
  <dcterms:created xmlns:dcterms="http://purl.org/dc/terms/" xmlns:xsi="http://www.w3.org/2001/XMLSchema-instance" xsi:type="dcterms:W3CDTF">2026-04-27T22:54:47Z</dcterms:created>
  <dcterms:modified xmlns:dcterms="http://purl.org/dc/terms/" xmlns:xsi="http://www.w3.org/2001/XMLSchema-instance" xsi:type="dcterms:W3CDTF">2026-04-27T22:54:47Z</dcterms:modified>
  <cp:lastModifiedBy>Siddiqui, Ameen</cp:lastModifiedBy>
  <cp:category>MCBOMs Validation Workbooks</cp:category>
  <cp:keywords>MCBOMs MILP Excel Solver FHWA Task 4 validation TTI</cp:keywords>
</cp:coreProperties>
</file>

<file path=docProps/custom.xml><?xml version="1.0" encoding="utf-8"?>
<Properties xmlns="http://schemas.openxmlformats.org/officeDocument/2006/custom-properties">
  <property name="Company" fmtid="{D5CDD505-2E9C-101B-9397-08002B2CF9AE}" pid="2">
    <vt:lpwstr xmlns:vt="http://schemas.openxmlformats.org/officeDocument/2006/docPropsVTypes">Texas A&amp;M Transportation Institute</vt:lpwstr>
  </property>
</Properties>
</file>