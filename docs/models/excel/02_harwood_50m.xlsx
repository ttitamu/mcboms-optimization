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erivation" sheetId="3" state="visible" r:id="rId3"/>
    <sheet xmlns:r="http://schemas.openxmlformats.org/officeDocument/2006/relationships" name="Optimization" sheetId="4" state="visible" r:id="rId4"/>
    <sheet xmlns:r="http://schemas.openxmlformats.org/officeDocument/2006/relationships" name="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(&quot;$&quot;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color rgb="000000FF"/>
      <sz val="11"/>
    </font>
    <font>
      <name val="Calibri"/>
      <color rgb="00000000"/>
      <sz val="11"/>
    </font>
    <font>
      <name val="Calibri"/>
      <color rgb="00008000"/>
      <sz val="11"/>
    </font>
    <font>
      <name val="Calibri"/>
      <b val="1"/>
      <color rgb="00FFFFFF"/>
      <sz val="12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164" fontId="6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" fontId="6" fillId="4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9" fillId="5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  <dxf>
      <font>
        <name val="Calibri"/>
        <b val="1"/>
        <color rgb="009C5700"/>
        <sz val="11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22" customWidth="1" min="4" max="4"/>
    <col width="22" customWidth="1" min="5" max="5"/>
    <col width="14" customWidth="1" min="6" max="6"/>
  </cols>
  <sheetData>
    <row r="2" ht="22" customHeight="1">
      <c r="B2" s="1" t="inlineStr">
        <is>
          <t>MCBOMs Harwood (2003) Validation — $50M Budget</t>
        </is>
      </c>
    </row>
    <row r="4">
      <c r="B4" s="2" t="inlineStr">
        <is>
          <t>Purpose</t>
        </is>
      </c>
    </row>
    <row r="5" ht="18" customHeight="1">
      <c r="B5" s="3" t="inlineStr">
        <is>
          <t>This workbook implements the MCBOMs MILP — the same Mixed-Integer Linear Program specified in Chapter 2 of the Methodology document and implemented in Python in the project's optimizer module — using the Solver add-in built into Microsoft Excel. It validates the MILP against the Harwood et al. (2003) 10-site case study at the $50M budget level. Cost and benefit values are taken directly from Tables 2 and 3 of the published paper. Following Harwood's definition, net benefit is computed as (PSB + PTOB) − Safety Improvement Cost; resurfacing cost is in the budget constraint but not the objective, since resurfacing is treated as a baseline that occurs regardless of which alternative is selected. All five forms of the MCBOMs MILP — Python, AMPL, GAMS, LP, and this Excel implementation — produce numerically identical results (subject to the documented PNR caveat at constrained budgets). Project website: https://ttitamu.github.io/mcboms-optimization.</t>
        </is>
      </c>
    </row>
    <row r="6" ht="18" customHeight="1"/>
    <row r="7" ht="18" customHeight="1"/>
    <row r="8" ht="18" customHeight="1"/>
    <row r="9" ht="18" customHeight="1"/>
    <row r="11">
      <c r="B11" s="2" t="inlineStr">
        <is>
          <t>Problem</t>
        </is>
      </c>
    </row>
    <row r="12" ht="18" customHeight="1">
      <c r="B12" s="3" t="inlineStr">
        <is>
          <t xml:space="preserve">10 candidate sites, 21 total alternatives. The optimizer chooses at most one alternative per site, subject to a $50,000,000 total budget. </t>
        </is>
      </c>
    </row>
    <row r="13" ht="18" customHeight="1"/>
    <row r="14" ht="18" customHeight="1"/>
    <row r="15" ht="18" customHeight="1"/>
    <row r="17">
      <c r="B17" s="2" t="inlineStr">
        <is>
          <t>Expected result</t>
        </is>
      </c>
    </row>
    <row r="18">
      <c r="B18" s="4" t="inlineStr">
        <is>
          <t>Quantity</t>
        </is>
      </c>
      <c r="C18" s="4" t="inlineStr">
        <is>
          <t>Value</t>
        </is>
      </c>
    </row>
    <row r="19">
      <c r="B19" s="5" t="inlineStr">
        <is>
          <t>Total expenditure</t>
        </is>
      </c>
      <c r="C19" s="6" t="n">
        <v>16271247</v>
      </c>
    </row>
    <row r="20">
      <c r="B20" s="5" t="inlineStr">
        <is>
          <t>Total net benefit (objective)</t>
        </is>
      </c>
      <c r="C20" s="6" t="n">
        <v>6159512</v>
      </c>
    </row>
    <row r="21">
      <c r="B21" s="5" t="inlineStr">
        <is>
          <t>Budget</t>
        </is>
      </c>
      <c r="C21" s="6" t="n">
        <v>50000000</v>
      </c>
    </row>
    <row r="22">
      <c r="B22" s="5" t="inlineStr">
        <is>
          <t>Budget utilization</t>
        </is>
      </c>
      <c r="C22" s="7" t="n">
        <v>0.32542494</v>
      </c>
    </row>
    <row r="25">
      <c r="B25" s="2" t="inlineStr">
        <is>
          <t>How to run</t>
        </is>
      </c>
    </row>
    <row r="26" ht="32" customHeight="1">
      <c r="B26" s="3" t="inlineStr">
        <is>
          <t>1. Open this workbook in Microsoft Excel (desktop). The Solver add-in must be enabled — see 'How to enable the Solver add-in' below if Solver does not appear on the Data tab.</t>
        </is>
      </c>
    </row>
    <row r="27" ht="32" customHeight="1">
      <c r="B27" s="3" t="inlineStr">
        <is>
          <t>2. Go to the 'Optimization' sheet. Verify that the decision-variable cells (yellow-shaded, 'Fund? (0/1)' column) are currently 0.</t>
        </is>
      </c>
    </row>
    <row r="28" ht="32" customHeight="1">
      <c r="B28" s="3" t="inlineStr">
        <is>
          <t>3. On the Data tab, click Solver. The Solver Parameters dialog opens.</t>
        </is>
      </c>
    </row>
    <row r="29" ht="32" customHeight="1">
      <c r="B29" s="3" t="inlineStr">
        <is>
          <t>4. Configure Solver per the instructions on the right-side panel of the 'Optimization' sheet (objective cell, decision range, constraints).</t>
        </is>
      </c>
    </row>
    <row r="30" ht="32" customHeight="1">
      <c r="B30" s="3" t="inlineStr">
        <is>
          <t>5. Click Solve. When the Solver Results dialog appears, choose 'Keep Solver Solution' and click OK.</t>
        </is>
      </c>
    </row>
    <row r="31" ht="32" customHeight="1">
      <c r="B31" s="3" t="inlineStr">
        <is>
          <t>6. Verify the answer matches the 'Expected result' table above. The 'Results' sheet shows the selected alternatives and a match indicator that displays 'Run Solver' (yellow) before Solver has been used, 'PASS' (green) once the optimal answer is reached, or 'FAIL' (red) if the answer does not match.</t>
        </is>
      </c>
    </row>
    <row r="33">
      <c r="B33" s="2" t="inlineStr">
        <is>
          <t>How to enable the Solver add-in (one-time setup)</t>
        </is>
      </c>
    </row>
    <row r="34" ht="18" customHeight="1">
      <c r="B34" s="3" t="inlineStr">
        <is>
          <t>Skip this section if the Solver button is already visible on the Data tab.</t>
        </is>
      </c>
    </row>
    <row r="35" ht="18" customHeight="1">
      <c r="B35" s="3" t="inlineStr">
        <is>
          <t>1. File → Options → Add-ins.</t>
        </is>
      </c>
    </row>
    <row r="36" ht="18" customHeight="1">
      <c r="B36" s="3" t="inlineStr">
        <is>
          <t>2. At the bottom, set Manage to 'Excel Add-ins' and click Go.</t>
        </is>
      </c>
    </row>
    <row r="37" ht="18" customHeight="1">
      <c r="B37" s="3" t="inlineStr">
        <is>
          <t>3. Check the 'Solver Add-in' box and click OK.</t>
        </is>
      </c>
    </row>
    <row r="38" ht="18" customHeight="1">
      <c r="B38" s="3" t="inlineStr">
        <is>
          <t>4. The Solver button now appears on the Data tab in the Analyze group.</t>
        </is>
      </c>
    </row>
    <row r="40">
      <c r="B40" s="2" t="inlineStr">
        <is>
          <t>References</t>
        </is>
      </c>
    </row>
    <row r="41" ht="28" customHeight="1">
      <c r="B41" s="3" t="inlineStr">
        <is>
          <t>Harwood, D.W., Rabbani, E.R.K., and Richard, K.R. (2003). Systemwide Optimization of Safety Improvements for Resurfacing, Restoration, or Rehabilitation Projects. Transportation Research Record 1840, pp. 148-157.</t>
        </is>
      </c>
    </row>
    <row r="42" ht="28" customHeight="1">
      <c r="B42" s="3" t="inlineStr">
        <is>
          <t>MCBOMs Methodology, Section 2.7 — validation against Harwood</t>
        </is>
      </c>
    </row>
    <row r="43" ht="28" customHeight="1">
      <c r="B43" s="3" t="inlineStr">
        <is>
          <t>MCBOMs project website — https://ttitamu.github.io/mcboms-optimization</t>
        </is>
      </c>
    </row>
  </sheetData>
  <mergeCells count="16">
    <mergeCell ref="B30:F30"/>
    <mergeCell ref="B43:F43"/>
    <mergeCell ref="B29:F29"/>
    <mergeCell ref="B38:F38"/>
    <mergeCell ref="B34:F34"/>
    <mergeCell ref="B12:F15"/>
    <mergeCell ref="B28:F28"/>
    <mergeCell ref="B41:F41"/>
    <mergeCell ref="B42:F42"/>
    <mergeCell ref="B37:F37"/>
    <mergeCell ref="B31:F31"/>
    <mergeCell ref="B36:F36"/>
    <mergeCell ref="B5:F9"/>
    <mergeCell ref="B26:F26"/>
    <mergeCell ref="B27:F2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6" customWidth="1" min="3" max="3"/>
    <col width="4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22" customHeight="1">
      <c r="B2" s="1" t="inlineStr">
        <is>
          <t>Inputs (Harwood Tables 2 and 3)</t>
        </is>
      </c>
    </row>
    <row r="3">
      <c r="B3" s="8" t="inlineStr">
        <is>
          <t>Cost and benefit values from Tables 2 and 3 of Harwood et al. (2003). Net benefit is computed as Total Benefit − Safety Improvement Cost (Harwood Eq. 3 definition: resurfacing is treated as a baseline cost that occurs regardless of which alternative is selected, so the net benefit measures the value of safety improvements above that baseline).</t>
        </is>
      </c>
    </row>
    <row r="4"/>
    <row r="5"/>
    <row r="6"/>
    <row r="8">
      <c r="B8" s="2" t="inlineStr">
        <is>
          <t>Budget</t>
        </is>
      </c>
      <c r="E8" s="9" t="n">
        <v>50000000</v>
      </c>
    </row>
    <row r="10">
      <c r="B10" s="10" t="inlineStr">
        <is>
          <t>Site</t>
        </is>
      </c>
      <c r="C10" s="10" t="inlineStr">
        <is>
          <t>Alt</t>
        </is>
      </c>
      <c r="D10" s="10" t="inlineStr">
        <is>
          <t>Description</t>
        </is>
      </c>
      <c r="E10" s="10" t="inlineStr">
        <is>
          <t>Resurf cost</t>
        </is>
      </c>
      <c r="F10" s="10" t="inlineStr">
        <is>
          <t>Safety cost</t>
        </is>
      </c>
      <c r="G10" s="10" t="inlineStr">
        <is>
          <t>Total cost</t>
        </is>
      </c>
      <c r="H10" s="10" t="inlineStr">
        <is>
          <t>Safety ben</t>
        </is>
      </c>
      <c r="I10" s="10" t="inlineStr">
        <is>
          <t>Ops ben</t>
        </is>
      </c>
      <c r="J10" s="10" t="inlineStr">
        <is>
          <t>Total ben</t>
        </is>
      </c>
      <c r="K10" s="10" t="inlineStr">
        <is>
          <t>Net benefit</t>
        </is>
      </c>
    </row>
    <row r="11">
      <c r="B11" s="11" t="n">
        <v>1</v>
      </c>
      <c r="C11" s="11" t="n">
        <v>0</v>
      </c>
      <c r="D11" s="12" t="inlineStr">
        <is>
          <t>Do nothing</t>
        </is>
      </c>
      <c r="E11" s="13" t="n">
        <v>0</v>
      </c>
      <c r="F11" s="13" t="n">
        <v>0</v>
      </c>
      <c r="G11" s="14">
        <f>E11+F11</f>
        <v/>
      </c>
      <c r="H11" s="13" t="n">
        <v>0</v>
      </c>
      <c r="I11" s="13" t="n">
        <v>0</v>
      </c>
      <c r="J11" s="14">
        <f>H11+I11</f>
        <v/>
      </c>
      <c r="K11" s="14">
        <f>J11-F11</f>
        <v/>
      </c>
    </row>
    <row r="12">
      <c r="B12" s="15" t="n">
        <v>1</v>
      </c>
      <c r="C12" s="15" t="n">
        <v>1</v>
      </c>
      <c r="D12" s="16" t="inlineStr">
        <is>
          <t>Resurface only</t>
        </is>
      </c>
      <c r="E12" s="17" t="n">
        <v>528803</v>
      </c>
      <c r="F12" s="17" t="n">
        <v>0</v>
      </c>
      <c r="G12" s="18">
        <f>E12+F12</f>
        <v/>
      </c>
      <c r="H12" s="17" t="n">
        <v>0</v>
      </c>
      <c r="I12" s="17" t="n">
        <v>35107</v>
      </c>
      <c r="J12" s="18">
        <f>H12+I12</f>
        <v/>
      </c>
      <c r="K12" s="18">
        <f>J12-F12</f>
        <v/>
      </c>
    </row>
    <row r="13">
      <c r="B13" s="11" t="n">
        <v>2</v>
      </c>
      <c r="C13" s="11" t="n">
        <v>0</v>
      </c>
      <c r="D13" s="12" t="inlineStr">
        <is>
          <t>Do nothing</t>
        </is>
      </c>
      <c r="E13" s="13" t="n">
        <v>0</v>
      </c>
      <c r="F13" s="13" t="n">
        <v>0</v>
      </c>
      <c r="G13" s="14">
        <f>E13+F13</f>
        <v/>
      </c>
      <c r="H13" s="13" t="n">
        <v>0</v>
      </c>
      <c r="I13" s="13" t="n">
        <v>0</v>
      </c>
      <c r="J13" s="14">
        <f>H13+I13</f>
        <v/>
      </c>
      <c r="K13" s="14">
        <f>J13-F13</f>
        <v/>
      </c>
    </row>
    <row r="14">
      <c r="B14" s="15" t="n">
        <v>2</v>
      </c>
      <c r="C14" s="15" t="n">
        <v>1</v>
      </c>
      <c r="D14" s="16" t="inlineStr">
        <is>
          <t>Resurface + Turn-lane improvements</t>
        </is>
      </c>
      <c r="E14" s="17" t="n">
        <v>519763</v>
      </c>
      <c r="F14" s="17" t="n">
        <v>120000</v>
      </c>
      <c r="G14" s="18">
        <f>E14+F14</f>
        <v/>
      </c>
      <c r="H14" s="17" t="n">
        <v>328176</v>
      </c>
      <c r="I14" s="17" t="n">
        <v>71580</v>
      </c>
      <c r="J14" s="18">
        <f>H14+I14</f>
        <v/>
      </c>
      <c r="K14" s="18">
        <f>J14-F14</f>
        <v/>
      </c>
    </row>
    <row r="15">
      <c r="B15" s="11" t="n">
        <v>3</v>
      </c>
      <c r="C15" s="11" t="n">
        <v>0</v>
      </c>
      <c r="D15" s="12" t="inlineStr">
        <is>
          <t>Do nothing</t>
        </is>
      </c>
      <c r="E15" s="13" t="n">
        <v>0</v>
      </c>
      <c r="F15" s="13" t="n">
        <v>0</v>
      </c>
      <c r="G15" s="14">
        <f>E15+F15</f>
        <v/>
      </c>
      <c r="H15" s="13" t="n">
        <v>0</v>
      </c>
      <c r="I15" s="13" t="n">
        <v>0</v>
      </c>
      <c r="J15" s="14">
        <f>H15+I15</f>
        <v/>
      </c>
      <c r="K15" s="14">
        <f>J15-F15</f>
        <v/>
      </c>
    </row>
    <row r="16">
      <c r="B16" s="15" t="n">
        <v>3</v>
      </c>
      <c r="C16" s="15" t="n">
        <v>1</v>
      </c>
      <c r="D16" s="16" t="inlineStr">
        <is>
          <t>Resurface + Turn-lane + Roadside + User-defined #2</t>
        </is>
      </c>
      <c r="E16" s="17" t="n">
        <v>821621</v>
      </c>
      <c r="F16" s="17" t="n">
        <v>560000</v>
      </c>
      <c r="G16" s="18">
        <f>E16+F16</f>
        <v/>
      </c>
      <c r="H16" s="17" t="n">
        <v>1094909</v>
      </c>
      <c r="I16" s="17" t="n">
        <v>93697</v>
      </c>
      <c r="J16" s="18">
        <f>H16+I16</f>
        <v/>
      </c>
      <c r="K16" s="18">
        <f>J16-F16</f>
        <v/>
      </c>
    </row>
    <row r="17">
      <c r="B17" s="11" t="n">
        <v>4</v>
      </c>
      <c r="C17" s="11" t="n">
        <v>0</v>
      </c>
      <c r="D17" s="12" t="inlineStr">
        <is>
          <t>Do nothing</t>
        </is>
      </c>
      <c r="E17" s="13" t="n">
        <v>0</v>
      </c>
      <c r="F17" s="13" t="n">
        <v>0</v>
      </c>
      <c r="G17" s="14">
        <f>E17+F17</f>
        <v/>
      </c>
      <c r="H17" s="13" t="n">
        <v>0</v>
      </c>
      <c r="I17" s="13" t="n">
        <v>0</v>
      </c>
      <c r="J17" s="14">
        <f>H17+I17</f>
        <v/>
      </c>
      <c r="K17" s="14">
        <f>J17-F17</f>
        <v/>
      </c>
    </row>
    <row r="18">
      <c r="B18" s="15" t="n">
        <v>4</v>
      </c>
      <c r="C18" s="15" t="n">
        <v>1</v>
      </c>
      <c r="D18" s="16" t="inlineStr">
        <is>
          <t>Resurface + Widen lanes 10-11ft + Widen shoulders 4-6ft</t>
        </is>
      </c>
      <c r="E18" s="17" t="n">
        <v>475200</v>
      </c>
      <c r="F18" s="17" t="n">
        <v>572616</v>
      </c>
      <c r="G18" s="18">
        <f>E18+F18</f>
        <v/>
      </c>
      <c r="H18" s="17" t="n">
        <v>775629</v>
      </c>
      <c r="I18" s="17" t="n">
        <v>58379</v>
      </c>
      <c r="J18" s="18">
        <f>H18+I18</f>
        <v/>
      </c>
      <c r="K18" s="18">
        <f>J18-F18</f>
        <v/>
      </c>
    </row>
    <row r="19">
      <c r="B19" s="11" t="n">
        <v>5</v>
      </c>
      <c r="C19" s="11" t="n">
        <v>0</v>
      </c>
      <c r="D19" s="12" t="inlineStr">
        <is>
          <t>Do nothing</t>
        </is>
      </c>
      <c r="E19" s="13" t="n">
        <v>0</v>
      </c>
      <c r="F19" s="13" t="n">
        <v>0</v>
      </c>
      <c r="G19" s="14">
        <f>E19+F19</f>
        <v/>
      </c>
      <c r="H19" s="13" t="n">
        <v>0</v>
      </c>
      <c r="I19" s="13" t="n">
        <v>0</v>
      </c>
      <c r="J19" s="14">
        <f>H19+I19</f>
        <v/>
      </c>
      <c r="K19" s="14">
        <f>J19-F19</f>
        <v/>
      </c>
    </row>
    <row r="20">
      <c r="B20" s="15" t="n">
        <v>5</v>
      </c>
      <c r="C20" s="15" t="n">
        <v>1</v>
      </c>
      <c r="D20" s="16" t="inlineStr">
        <is>
          <t>Resurface + Turn-lane improvements</t>
        </is>
      </c>
      <c r="E20" s="17" t="n">
        <v>1180017</v>
      </c>
      <c r="F20" s="17" t="n">
        <v>240000</v>
      </c>
      <c r="G20" s="18">
        <f>E20+F20</f>
        <v/>
      </c>
      <c r="H20" s="17" t="n">
        <v>1355589</v>
      </c>
      <c r="I20" s="17" t="n">
        <v>53029</v>
      </c>
      <c r="J20" s="18">
        <f>H20+I20</f>
        <v/>
      </c>
      <c r="K20" s="18">
        <f>J20-F20</f>
        <v/>
      </c>
    </row>
    <row r="21">
      <c r="B21" s="11" t="n">
        <v>6</v>
      </c>
      <c r="C21" s="11" t="n">
        <v>0</v>
      </c>
      <c r="D21" s="12" t="inlineStr">
        <is>
          <t>Do nothing</t>
        </is>
      </c>
      <c r="E21" s="13" t="n">
        <v>0</v>
      </c>
      <c r="F21" s="13" t="n">
        <v>0</v>
      </c>
      <c r="G21" s="14">
        <f>E21+F21</f>
        <v/>
      </c>
      <c r="H21" s="13" t="n">
        <v>0</v>
      </c>
      <c r="I21" s="13" t="n">
        <v>0</v>
      </c>
      <c r="J21" s="14">
        <f>H21+I21</f>
        <v/>
      </c>
      <c r="K21" s="14">
        <f>J21-F21</f>
        <v/>
      </c>
    </row>
    <row r="22">
      <c r="B22" s="15" t="n">
        <v>6</v>
      </c>
      <c r="C22" s="15" t="n">
        <v>1</v>
      </c>
      <c r="D22" s="16" t="inlineStr">
        <is>
          <t>Resurface + Turn-lane improvements</t>
        </is>
      </c>
      <c r="E22" s="17" t="n">
        <v>2508549</v>
      </c>
      <c r="F22" s="17" t="n">
        <v>560000</v>
      </c>
      <c r="G22" s="18">
        <f>E22+F22</f>
        <v/>
      </c>
      <c r="H22" s="17" t="n">
        <v>808637</v>
      </c>
      <c r="I22" s="17" t="n">
        <v>92800</v>
      </c>
      <c r="J22" s="18">
        <f>H22+I22</f>
        <v/>
      </c>
      <c r="K22" s="18">
        <f>J22-F22</f>
        <v/>
      </c>
    </row>
    <row r="23">
      <c r="B23" s="11" t="n">
        <v>7</v>
      </c>
      <c r="C23" s="11" t="n">
        <v>0</v>
      </c>
      <c r="D23" s="12" t="inlineStr">
        <is>
          <t>Do nothing</t>
        </is>
      </c>
      <c r="E23" s="13" t="n">
        <v>0</v>
      </c>
      <c r="F23" s="13" t="n">
        <v>0</v>
      </c>
      <c r="G23" s="14">
        <f>E23+F23</f>
        <v/>
      </c>
      <c r="H23" s="13" t="n">
        <v>0</v>
      </c>
      <c r="I23" s="13" t="n">
        <v>0</v>
      </c>
      <c r="J23" s="14">
        <f>H23+I23</f>
        <v/>
      </c>
      <c r="K23" s="14">
        <f>J23-F23</f>
        <v/>
      </c>
    </row>
    <row r="24">
      <c r="B24" s="15" t="n">
        <v>7</v>
      </c>
      <c r="C24" s="15" t="n">
        <v>1</v>
      </c>
      <c r="D24" s="16" t="inlineStr">
        <is>
          <t>Resurface + Turn-lane improvements</t>
        </is>
      </c>
      <c r="E24" s="17" t="n">
        <v>1503237</v>
      </c>
      <c r="F24" s="17" t="n">
        <v>360000</v>
      </c>
      <c r="G24" s="18">
        <f>E24+F24</f>
        <v/>
      </c>
      <c r="H24" s="17" t="n">
        <v>947234</v>
      </c>
      <c r="I24" s="17" t="n">
        <v>93407</v>
      </c>
      <c r="J24" s="18">
        <f>H24+I24</f>
        <v/>
      </c>
      <c r="K24" s="18">
        <f>J24-F24</f>
        <v/>
      </c>
    </row>
    <row r="25">
      <c r="B25" s="11" t="n">
        <v>8</v>
      </c>
      <c r="C25" s="11" t="n">
        <v>0</v>
      </c>
      <c r="D25" s="12" t="inlineStr">
        <is>
          <t>Do nothing</t>
        </is>
      </c>
      <c r="E25" s="13" t="n">
        <v>0</v>
      </c>
      <c r="F25" s="13" t="n">
        <v>0</v>
      </c>
      <c r="G25" s="14">
        <f>E25+F25</f>
        <v/>
      </c>
      <c r="H25" s="13" t="n">
        <v>0</v>
      </c>
      <c r="I25" s="13" t="n">
        <v>0</v>
      </c>
      <c r="J25" s="14">
        <f>H25+I25</f>
        <v/>
      </c>
      <c r="K25" s="14">
        <f>J25-F25</f>
        <v/>
      </c>
    </row>
    <row r="26">
      <c r="B26" s="15" t="n">
        <v>8</v>
      </c>
      <c r="C26" s="15" t="n">
        <v>1</v>
      </c>
      <c r="D26" s="16" t="inlineStr">
        <is>
          <t>Resurface + Turn-lane improvements</t>
        </is>
      </c>
      <c r="E26" s="17" t="n">
        <v>1398989</v>
      </c>
      <c r="F26" s="17" t="n">
        <v>180000</v>
      </c>
      <c r="G26" s="18">
        <f>E26+F26</f>
        <v/>
      </c>
      <c r="H26" s="17" t="n">
        <v>555526</v>
      </c>
      <c r="I26" s="17" t="n">
        <v>150118</v>
      </c>
      <c r="J26" s="18">
        <f>H26+I26</f>
        <v/>
      </c>
      <c r="K26" s="18">
        <f>J26-F26</f>
        <v/>
      </c>
    </row>
    <row r="27">
      <c r="B27" s="11" t="n">
        <v>8</v>
      </c>
      <c r="C27" s="11" t="n">
        <v>2</v>
      </c>
      <c r="D27" s="12" t="inlineStr">
        <is>
          <t>Resurface + Turn-lane + User-defined #2</t>
        </is>
      </c>
      <c r="E27" s="13" t="n">
        <v>1398989</v>
      </c>
      <c r="F27" s="13" t="n">
        <v>680000</v>
      </c>
      <c r="G27" s="14">
        <f>E27+F27</f>
        <v/>
      </c>
      <c r="H27" s="13" t="n">
        <v>1119938</v>
      </c>
      <c r="I27" s="13" t="n">
        <v>150118</v>
      </c>
      <c r="J27" s="14">
        <f>H27+I27</f>
        <v/>
      </c>
      <c r="K27" s="14">
        <f>J27-F27</f>
        <v/>
      </c>
    </row>
    <row r="28">
      <c r="B28" s="15" t="n">
        <v>9</v>
      </c>
      <c r="C28" s="15" t="n">
        <v>0</v>
      </c>
      <c r="D28" s="16" t="inlineStr">
        <is>
          <t>Do nothing</t>
        </is>
      </c>
      <c r="E28" s="17" t="n">
        <v>0</v>
      </c>
      <c r="F28" s="17" t="n">
        <v>0</v>
      </c>
      <c r="G28" s="18">
        <f>E28+F28</f>
        <v/>
      </c>
      <c r="H28" s="17" t="n">
        <v>0</v>
      </c>
      <c r="I28" s="17" t="n">
        <v>0</v>
      </c>
      <c r="J28" s="18">
        <f>H28+I28</f>
        <v/>
      </c>
      <c r="K28" s="18">
        <f>J28-F28</f>
        <v/>
      </c>
    </row>
    <row r="29">
      <c r="B29" s="11" t="n">
        <v>9</v>
      </c>
      <c r="C29" s="11" t="n">
        <v>1</v>
      </c>
      <c r="D29" s="12" t="inlineStr">
        <is>
          <t>Resurface + Turn-lane improvements</t>
        </is>
      </c>
      <c r="E29" s="13" t="n">
        <v>1365302</v>
      </c>
      <c r="F29" s="13" t="n">
        <v>336000</v>
      </c>
      <c r="G29" s="14">
        <f>E29+F29</f>
        <v/>
      </c>
      <c r="H29" s="13" t="n">
        <v>1071895</v>
      </c>
      <c r="I29" s="13" t="n">
        <v>81343</v>
      </c>
      <c r="J29" s="14">
        <f>H29+I29</f>
        <v/>
      </c>
      <c r="K29" s="14">
        <f>J29-F29</f>
        <v/>
      </c>
    </row>
    <row r="30">
      <c r="B30" s="15" t="n">
        <v>10</v>
      </c>
      <c r="C30" s="15" t="n">
        <v>0</v>
      </c>
      <c r="D30" s="16" t="inlineStr">
        <is>
          <t>Do nothing</t>
        </is>
      </c>
      <c r="E30" s="17" t="n">
        <v>0</v>
      </c>
      <c r="F30" s="17" t="n">
        <v>0</v>
      </c>
      <c r="G30" s="18">
        <f>E30+F30</f>
        <v/>
      </c>
      <c r="H30" s="17" t="n">
        <v>0</v>
      </c>
      <c r="I30" s="17" t="n">
        <v>0</v>
      </c>
      <c r="J30" s="18">
        <f>H30+I30</f>
        <v/>
      </c>
      <c r="K30" s="18">
        <f>J30-F30</f>
        <v/>
      </c>
    </row>
    <row r="31">
      <c r="B31" s="11" t="n">
        <v>10</v>
      </c>
      <c r="C31" s="11" t="n">
        <v>1</v>
      </c>
      <c r="D31" s="12" t="inlineStr">
        <is>
          <t>Resurface + Widen shoulders 4-6ft + Horiz curve + Turn-lane</t>
        </is>
      </c>
      <c r="E31" s="13" t="n">
        <v>1488369</v>
      </c>
      <c r="F31" s="13" t="n">
        <v>1052781</v>
      </c>
      <c r="G31" s="14">
        <f>E31+F31</f>
        <v/>
      </c>
      <c r="H31" s="13" t="n">
        <v>2329256</v>
      </c>
      <c r="I31" s="13" t="n">
        <v>80186</v>
      </c>
      <c r="J31" s="14">
        <f>H31+I31</f>
        <v/>
      </c>
      <c r="K31" s="14">
        <f>J31-F31</f>
        <v/>
      </c>
    </row>
  </sheetData>
  <mergeCells count="1">
    <mergeCell ref="B3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  <col width="18" customWidth="1" min="4" max="4"/>
  </cols>
  <sheetData>
    <row r="2" ht="22" customHeight="1">
      <c r="B2" s="1" t="inlineStr">
        <is>
          <t>Derivation Reference (Site 5: Resurface + Turn-lane)</t>
        </is>
      </c>
    </row>
    <row r="4">
      <c r="B4" s="8" t="inlineStr">
        <is>
          <t>Shows how the cost and benefit values on the Inputs sheet are derived from raw inputs using the methodology described in Section 2.3 of the MCBOMs Methodology. Site 5 (Resurface + Turn-lane improvements) is the representative example. The published Harwood paper does not report the raw crash data, so the values are forward-derivable from Tables 2 and 3 but not back-checkable; the derivation chain shown here documents what each Table 2/3 value represents in the methodology.</t>
        </is>
      </c>
    </row>
    <row r="5"/>
    <row r="6"/>
    <row r="7"/>
    <row r="8"/>
    <row r="9"/>
    <row r="11">
      <c r="B11" s="2" t="inlineStr">
        <is>
          <t>Cost derivation</t>
        </is>
      </c>
    </row>
    <row r="12">
      <c r="B12" s="5" t="inlineStr">
        <is>
          <t>Resurfacing cost (mileage × unit rate)</t>
        </is>
      </c>
      <c r="C12" s="19" t="inlineStr">
        <is>
          <t>from paper Table 2</t>
        </is>
      </c>
      <c r="D12" s="20" t="inlineStr">
        <is>
          <t>$1,180,017</t>
        </is>
      </c>
    </row>
    <row r="13">
      <c r="B13" s="5" t="inlineStr">
        <is>
          <t>Safety improvement cost (turn-lane installation)</t>
        </is>
      </c>
      <c r="C13" s="19" t="inlineStr">
        <is>
          <t>from paper Table 2</t>
        </is>
      </c>
      <c r="D13" s="20" t="inlineStr">
        <is>
          <t>$240,000</t>
        </is>
      </c>
    </row>
    <row r="14">
      <c r="B14" s="5" t="inlineStr">
        <is>
          <t>Total cost (CC_jk in Eq. 3)</t>
        </is>
      </c>
      <c r="C14" s="19" t="inlineStr">
        <is>
          <t>Resurf + Safety</t>
        </is>
      </c>
      <c r="D14" s="20" t="inlineStr">
        <is>
          <t>$1,420,017</t>
        </is>
      </c>
    </row>
    <row r="16">
      <c r="B16" s="2" t="inlineStr">
        <is>
          <t>Benefit derivation</t>
        </is>
      </c>
    </row>
    <row r="17">
      <c r="B17" s="5" t="inlineStr">
        <is>
          <t>E_no-build (annual expected crashes by severity)</t>
        </is>
      </c>
      <c r="C17" s="19" t="inlineStr">
        <is>
          <t>HSM SPF or local data</t>
        </is>
      </c>
      <c r="D17" s="20" t="inlineStr">
        <is>
          <t>(per-site)</t>
        </is>
      </c>
    </row>
    <row r="18">
      <c r="B18" s="5" t="inlineStr">
        <is>
          <t>E_build = E_no-build × AMF (CMF in HSM terminology)</t>
        </is>
      </c>
      <c r="C18" s="19" t="inlineStr">
        <is>
          <t>AMFs from Harwood Table 1</t>
        </is>
      </c>
      <c r="D18" s="20" t="inlineStr">
        <is>
          <t>(per-treatment)</t>
        </is>
      </c>
    </row>
    <row r="19">
      <c r="B19" s="5" t="inlineStr">
        <is>
          <t>Annual reduction = E_no-build − E_build</t>
        </is>
      </c>
      <c r="C19" s="19" t="inlineStr">
        <is>
          <t>reduction by severity</t>
        </is>
      </c>
      <c r="D19" s="20" t="inlineStr">
        <is>
          <t>(per-treatment)</t>
        </is>
      </c>
    </row>
    <row r="20">
      <c r="B20" s="5" t="inlineStr">
        <is>
          <t>Annual safety benefit = Σ (reduction × unit cost)</t>
        </is>
      </c>
      <c r="C20" s="19" t="inlineStr">
        <is>
          <t>FHWA crash unit costs</t>
        </is>
      </c>
      <c r="D20" s="20" t="inlineStr">
        <is>
          <t>(per-treatment)</t>
        </is>
      </c>
    </row>
    <row r="21">
      <c r="B21" s="5" t="inlineStr">
        <is>
          <t>PSB = Annual safety benefit × PWF(r, T)</t>
        </is>
      </c>
      <c r="C21" s="19" t="inlineStr">
        <is>
          <t>PWF(0.07, 20) = 10.594</t>
        </is>
      </c>
      <c r="D21" s="20" t="inlineStr">
        <is>
          <t>$1,355,589</t>
        </is>
      </c>
    </row>
    <row r="22">
      <c r="B22" s="5" t="inlineStr">
        <is>
          <t>PTOB (operational benefit, travel time savings)</t>
        </is>
      </c>
      <c r="C22" s="19" t="inlineStr">
        <is>
          <t>Harwood Table 3</t>
        </is>
      </c>
      <c r="D22" s="20" t="inlineStr">
        <is>
          <t>$53,029</t>
        </is>
      </c>
    </row>
    <row r="23">
      <c r="B23" s="5" t="inlineStr">
        <is>
          <t>Total benefit = PSB + PTOB</t>
        </is>
      </c>
      <c r="C23" s="19" t="inlineStr">
        <is>
          <t>(safety + operational)</t>
        </is>
      </c>
      <c r="D23" s="20" t="inlineStr">
        <is>
          <t>$1,408,618</t>
        </is>
      </c>
    </row>
    <row r="24">
      <c r="B24" s="5" t="inlineStr">
        <is>
          <t>Net benefit = Total benefit − Safety Improvement Cost</t>
        </is>
      </c>
      <c r="C24" s="19" t="inlineStr">
        <is>
          <t>Eq. 3 in paper</t>
        </is>
      </c>
      <c r="D24" s="20" t="inlineStr">
        <is>
          <t>$1,168,618</t>
        </is>
      </c>
    </row>
    <row r="26">
      <c r="B26" s="2" t="inlineStr">
        <is>
          <t>Note on PNR / PRP terms</t>
        </is>
      </c>
    </row>
    <row r="27">
      <c r="B27" s="8" t="inlineStr">
        <is>
          <t>Harwood's full equation includes Penalty for Not Resurfacing (PNR) and Penalty for Resurfacing without Improvements (PRP). These are set to zero in this validation because per-site PNR values are not published in the paper and the PNR mechanism requires pavement-deterioration data not standardized in current FHWA guidance. At the $50M budget, PNR has no effect on the optimal selection. At lower budgets (e.g. $10M), MCBOMs may select a different portfolio than Harwood's published solution; this is documented in MCBOMs Methodology Section 2.7.</t>
        </is>
      </c>
    </row>
    <row r="28"/>
    <row r="29"/>
    <row r="30"/>
    <row r="31"/>
    <row r="32"/>
    <row r="33"/>
  </sheetData>
  <mergeCells count="2">
    <mergeCell ref="B27:D33"/>
    <mergeCell ref="B4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4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1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6" customWidth="1" min="14" max="14"/>
    <col width="6" customWidth="1" min="15" max="15"/>
    <col width="48" customWidth="1" min="16" max="16"/>
    <col width="14" customWidth="1" min="17" max="17"/>
    <col width="14" customWidth="1" min="18" max="18"/>
    <col width="14" customWidth="1" min="19" max="19"/>
    <col width="12" customWidth="1" min="20" max="20"/>
  </cols>
  <sheetData>
    <row r="2" ht="22" customHeight="1">
      <c r="B2" s="1" t="inlineStr">
        <is>
          <t>Optimization (MILP)</t>
        </is>
      </c>
    </row>
    <row r="5" ht="24" customHeight="1">
      <c r="B5" s="21" t="inlineStr">
        <is>
          <t>Mathematical Formulation</t>
        </is>
      </c>
      <c r="N5" s="10" t="inlineStr">
        <is>
          <t>Site</t>
        </is>
      </c>
      <c r="O5" s="10" t="inlineStr">
        <is>
          <t>Alt</t>
        </is>
      </c>
      <c r="P5" s="10" t="inlineStr">
        <is>
          <t>Description</t>
        </is>
      </c>
      <c r="Q5" s="10" t="inlineStr">
        <is>
          <t>Cost</t>
        </is>
      </c>
      <c r="R5" s="10" t="inlineStr">
        <is>
          <t>Total benefit</t>
        </is>
      </c>
      <c r="S5" s="10" t="inlineStr">
        <is>
          <t>Net benefit</t>
        </is>
      </c>
      <c r="T5" s="10" t="inlineStr">
        <is>
          <t>Fund? (0/1)</t>
        </is>
      </c>
    </row>
    <row r="6" ht="22" customHeight="1">
      <c r="B6" s="22" t="inlineStr">
        <is>
          <t>Decision variables</t>
        </is>
      </c>
      <c r="N6" s="11" t="n">
        <v>1</v>
      </c>
      <c r="O6" s="11" t="n">
        <v>0</v>
      </c>
      <c r="P6" s="12" t="inlineStr">
        <is>
          <t>Do nothing</t>
        </is>
      </c>
      <c r="Q6" s="23">
        <f>Inputs!G11</f>
        <v/>
      </c>
      <c r="R6" s="23">
        <f>Inputs!J11</f>
        <v/>
      </c>
      <c r="S6" s="23">
        <f>Inputs!K11</f>
        <v/>
      </c>
      <c r="T6" s="24" t="n">
        <v>0</v>
      </c>
    </row>
    <row r="7" ht="18" customHeight="1">
      <c r="B7" s="25" t="inlineStr">
        <is>
          <t>x_ij ∈ {0, 1} for each alternative j at site i (range T6:T26, yellow cells)</t>
        </is>
      </c>
      <c r="N7" s="15" t="n">
        <v>1</v>
      </c>
      <c r="O7" s="15" t="n">
        <v>1</v>
      </c>
      <c r="P7" s="16" t="inlineStr">
        <is>
          <t>Resurface only</t>
        </is>
      </c>
      <c r="Q7" s="26">
        <f>Inputs!G12</f>
        <v/>
      </c>
      <c r="R7" s="26">
        <f>Inputs!J12</f>
        <v/>
      </c>
      <c r="S7" s="26">
        <f>Inputs!K12</f>
        <v/>
      </c>
      <c r="T7" s="24" t="n">
        <v>0</v>
      </c>
    </row>
    <row r="8" ht="18" customHeight="1">
      <c r="N8" s="11" t="n">
        <v>2</v>
      </c>
      <c r="O8" s="11" t="n">
        <v>0</v>
      </c>
      <c r="P8" s="12" t="inlineStr">
        <is>
          <t>Do nothing</t>
        </is>
      </c>
      <c r="Q8" s="23">
        <f>Inputs!G13</f>
        <v/>
      </c>
      <c r="R8" s="23">
        <f>Inputs!J13</f>
        <v/>
      </c>
      <c r="S8" s="23">
        <f>Inputs!K13</f>
        <v/>
      </c>
      <c r="T8" s="24" t="n">
        <v>0</v>
      </c>
    </row>
    <row r="9" ht="22" customHeight="1">
      <c r="B9" s="22" t="inlineStr">
        <is>
          <t>Objective</t>
        </is>
      </c>
      <c r="N9" s="15" t="n">
        <v>2</v>
      </c>
      <c r="O9" s="15" t="n">
        <v>1</v>
      </c>
      <c r="P9" s="16" t="inlineStr">
        <is>
          <t>Resurface + Turn-lane improvements</t>
        </is>
      </c>
      <c r="Q9" s="26">
        <f>Inputs!G14</f>
        <v/>
      </c>
      <c r="R9" s="26">
        <f>Inputs!J14</f>
        <v/>
      </c>
      <c r="S9" s="26">
        <f>Inputs!K14</f>
        <v/>
      </c>
      <c r="T9" s="24" t="n">
        <v>0</v>
      </c>
    </row>
    <row r="10" ht="18" customHeight="1">
      <c r="B10" s="27" t="inlineStr">
        <is>
          <t>Maximize:  Z = Σ_i Σ_j  NetBenefit_ij × x_ij</t>
        </is>
      </c>
      <c r="N10" s="11" t="n">
        <v>3</v>
      </c>
      <c r="O10" s="11" t="n">
        <v>0</v>
      </c>
      <c r="P10" s="12" t="inlineStr">
        <is>
          <t>Do nothing</t>
        </is>
      </c>
      <c r="Q10" s="23">
        <f>Inputs!G15</f>
        <v/>
      </c>
      <c r="R10" s="23">
        <f>Inputs!J15</f>
        <v/>
      </c>
      <c r="S10" s="23">
        <f>Inputs!K15</f>
        <v/>
      </c>
      <c r="T10" s="24" t="n">
        <v>0</v>
      </c>
    </row>
    <row r="11" ht="18" customHeight="1">
      <c r="B11" s="25" t="inlineStr">
        <is>
          <t>(computed at cell Q32)</t>
        </is>
      </c>
      <c r="N11" s="15" t="n">
        <v>3</v>
      </c>
      <c r="O11" s="15" t="n">
        <v>1</v>
      </c>
      <c r="P11" s="16" t="inlineStr">
        <is>
          <t>Resurface + Turn-lane + Roadside + User-defined #2</t>
        </is>
      </c>
      <c r="Q11" s="26">
        <f>Inputs!G16</f>
        <v/>
      </c>
      <c r="R11" s="26">
        <f>Inputs!J16</f>
        <v/>
      </c>
      <c r="S11" s="26">
        <f>Inputs!K16</f>
        <v/>
      </c>
      <c r="T11" s="24" t="n">
        <v>0</v>
      </c>
    </row>
    <row r="12" ht="18" customHeight="1">
      <c r="N12" s="11" t="n">
        <v>4</v>
      </c>
      <c r="O12" s="11" t="n">
        <v>0</v>
      </c>
      <c r="P12" s="12" t="inlineStr">
        <is>
          <t>Do nothing</t>
        </is>
      </c>
      <c r="Q12" s="23">
        <f>Inputs!G17</f>
        <v/>
      </c>
      <c r="R12" s="23">
        <f>Inputs!J17</f>
        <v/>
      </c>
      <c r="S12" s="23">
        <f>Inputs!K17</f>
        <v/>
      </c>
      <c r="T12" s="24" t="n">
        <v>0</v>
      </c>
    </row>
    <row r="13" ht="22" customHeight="1">
      <c r="B13" s="22" t="inlineStr">
        <is>
          <t>Subject to</t>
        </is>
      </c>
      <c r="N13" s="15" t="n">
        <v>4</v>
      </c>
      <c r="O13" s="15" t="n">
        <v>1</v>
      </c>
      <c r="P13" s="16" t="inlineStr">
        <is>
          <t>Resurface + Widen lanes 10-11ft + Widen shoulders 4-6ft</t>
        </is>
      </c>
      <c r="Q13" s="26">
        <f>Inputs!G18</f>
        <v/>
      </c>
      <c r="R13" s="26">
        <f>Inputs!J18</f>
        <v/>
      </c>
      <c r="S13" s="26">
        <f>Inputs!K18</f>
        <v/>
      </c>
      <c r="T13" s="24" t="n">
        <v>0</v>
      </c>
    </row>
    <row r="14" ht="18" customHeight="1">
      <c r="B14" s="27" t="inlineStr">
        <is>
          <t>Budget:    Σ_i Σ_j  Cost_ij × x_ij  ≤  Budget</t>
        </is>
      </c>
      <c r="N14" s="11" t="n">
        <v>5</v>
      </c>
      <c r="O14" s="11" t="n">
        <v>0</v>
      </c>
      <c r="P14" s="12" t="inlineStr">
        <is>
          <t>Do nothing</t>
        </is>
      </c>
      <c r="Q14" s="23">
        <f>Inputs!G19</f>
        <v/>
      </c>
      <c r="R14" s="23">
        <f>Inputs!J19</f>
        <v/>
      </c>
      <c r="S14" s="23">
        <f>Inputs!K19</f>
        <v/>
      </c>
      <c r="T14" s="24" t="n">
        <v>0</v>
      </c>
    </row>
    <row r="15" ht="18" customHeight="1">
      <c r="B15" s="25" t="inlineStr">
        <is>
          <t>(computed at Q30, ≤ $50,000,000)</t>
        </is>
      </c>
      <c r="N15" s="15" t="n">
        <v>5</v>
      </c>
      <c r="O15" s="15" t="n">
        <v>1</v>
      </c>
      <c r="P15" s="16" t="inlineStr">
        <is>
          <t>Resurface + Turn-lane improvements</t>
        </is>
      </c>
      <c r="Q15" s="26">
        <f>Inputs!G20</f>
        <v/>
      </c>
      <c r="R15" s="26">
        <f>Inputs!J20</f>
        <v/>
      </c>
      <c r="S15" s="26">
        <f>Inputs!K20</f>
        <v/>
      </c>
      <c r="T15" s="24" t="n">
        <v>0</v>
      </c>
    </row>
    <row r="16" ht="18" customHeight="1">
      <c r="B16" s="27" t="inlineStr">
        <is>
          <t>Mutex:     Σ_j  x_ij  ≤  1   for each site i</t>
        </is>
      </c>
      <c r="N16" s="11" t="n">
        <v>6</v>
      </c>
      <c r="O16" s="11" t="n">
        <v>0</v>
      </c>
      <c r="P16" s="12" t="inlineStr">
        <is>
          <t>Do nothing</t>
        </is>
      </c>
      <c r="Q16" s="23">
        <f>Inputs!G21</f>
        <v/>
      </c>
      <c r="R16" s="23">
        <f>Inputs!J21</f>
        <v/>
      </c>
      <c r="S16" s="23">
        <f>Inputs!K21</f>
        <v/>
      </c>
      <c r="T16" s="24" t="n">
        <v>0</v>
      </c>
    </row>
    <row r="17" ht="18" customHeight="1">
      <c r="B17" s="25" t="inlineStr">
        <is>
          <t>(constraint cells, O37:O46)</t>
        </is>
      </c>
      <c r="N17" s="15" t="n">
        <v>6</v>
      </c>
      <c r="O17" s="15" t="n">
        <v>1</v>
      </c>
      <c r="P17" s="16" t="inlineStr">
        <is>
          <t>Resurface + Turn-lane improvements</t>
        </is>
      </c>
      <c r="Q17" s="26">
        <f>Inputs!G22</f>
        <v/>
      </c>
      <c r="R17" s="26">
        <f>Inputs!J22</f>
        <v/>
      </c>
      <c r="S17" s="26">
        <f>Inputs!K22</f>
        <v/>
      </c>
      <c r="T17" s="24" t="n">
        <v>0</v>
      </c>
    </row>
    <row r="18" ht="18" customHeight="1">
      <c r="B18" s="27" t="inlineStr">
        <is>
          <t>Binary:    x_ij ∈ {0, 1}</t>
        </is>
      </c>
      <c r="N18" s="11" t="n">
        <v>7</v>
      </c>
      <c r="O18" s="11" t="n">
        <v>0</v>
      </c>
      <c r="P18" s="12" t="inlineStr">
        <is>
          <t>Do nothing</t>
        </is>
      </c>
      <c r="Q18" s="23">
        <f>Inputs!G23</f>
        <v/>
      </c>
      <c r="R18" s="23">
        <f>Inputs!J23</f>
        <v/>
      </c>
      <c r="S18" s="23">
        <f>Inputs!K23</f>
        <v/>
      </c>
      <c r="T18" s="24" t="n">
        <v>0</v>
      </c>
    </row>
    <row r="19" ht="18" customHeight="1">
      <c r="N19" s="15" t="n">
        <v>7</v>
      </c>
      <c r="O19" s="15" t="n">
        <v>1</v>
      </c>
      <c r="P19" s="16" t="inlineStr">
        <is>
          <t>Resurface + Turn-lane improvements</t>
        </is>
      </c>
      <c r="Q19" s="26">
        <f>Inputs!G24</f>
        <v/>
      </c>
      <c r="R19" s="26">
        <f>Inputs!J24</f>
        <v/>
      </c>
      <c r="S19" s="26">
        <f>Inputs!K24</f>
        <v/>
      </c>
      <c r="T19" s="24" t="n">
        <v>0</v>
      </c>
    </row>
    <row r="20" ht="24" customHeight="1">
      <c r="B20" s="21" t="inlineStr">
        <is>
          <t>Solver Setup</t>
        </is>
      </c>
      <c r="N20" s="11" t="n">
        <v>8</v>
      </c>
      <c r="O20" s="11" t="n">
        <v>0</v>
      </c>
      <c r="P20" s="12" t="inlineStr">
        <is>
          <t>Do nothing</t>
        </is>
      </c>
      <c r="Q20" s="23">
        <f>Inputs!G25</f>
        <v/>
      </c>
      <c r="R20" s="23">
        <f>Inputs!J25</f>
        <v/>
      </c>
      <c r="S20" s="23">
        <f>Inputs!K25</f>
        <v/>
      </c>
      <c r="T20" s="24" t="n">
        <v>0</v>
      </c>
    </row>
    <row r="21" ht="22" customHeight="1">
      <c r="B21" s="22" t="inlineStr">
        <is>
          <t>Top of Solver dialog</t>
        </is>
      </c>
      <c r="N21" s="15" t="n">
        <v>8</v>
      </c>
      <c r="O21" s="15" t="n">
        <v>1</v>
      </c>
      <c r="P21" s="16" t="inlineStr">
        <is>
          <t>Resurface + Turn-lane improvements</t>
        </is>
      </c>
      <c r="Q21" s="26">
        <f>Inputs!G26</f>
        <v/>
      </c>
      <c r="R21" s="26">
        <f>Inputs!J26</f>
        <v/>
      </c>
      <c r="S21" s="26">
        <f>Inputs!K26</f>
        <v/>
      </c>
      <c r="T21" s="24" t="n">
        <v>0</v>
      </c>
    </row>
    <row r="22" ht="22" customHeight="1">
      <c r="B22" s="10" t="inlineStr">
        <is>
          <t>Field</t>
        </is>
      </c>
      <c r="C22" s="10" t="inlineStr">
        <is>
          <t>Value</t>
        </is>
      </c>
      <c r="N22" s="11" t="n">
        <v>8</v>
      </c>
      <c r="O22" s="11" t="n">
        <v>2</v>
      </c>
      <c r="P22" s="12" t="inlineStr">
        <is>
          <t>Resurface + Turn-lane + User-defined #2</t>
        </is>
      </c>
      <c r="Q22" s="23">
        <f>Inputs!G27</f>
        <v/>
      </c>
      <c r="R22" s="23">
        <f>Inputs!J27</f>
        <v/>
      </c>
      <c r="S22" s="23">
        <f>Inputs!K27</f>
        <v/>
      </c>
      <c r="T22" s="24" t="n">
        <v>0</v>
      </c>
    </row>
    <row r="23" ht="18" customHeight="1">
      <c r="B23" s="12" t="inlineStr">
        <is>
          <t>Set Objective</t>
        </is>
      </c>
      <c r="C23" s="28" t="inlineStr">
        <is>
          <t>$Q$32</t>
        </is>
      </c>
      <c r="N23" s="15" t="n">
        <v>9</v>
      </c>
      <c r="O23" s="15" t="n">
        <v>0</v>
      </c>
      <c r="P23" s="16" t="inlineStr">
        <is>
          <t>Do nothing</t>
        </is>
      </c>
      <c r="Q23" s="26">
        <f>Inputs!G28</f>
        <v/>
      </c>
      <c r="R23" s="26">
        <f>Inputs!J28</f>
        <v/>
      </c>
      <c r="S23" s="26">
        <f>Inputs!K28</f>
        <v/>
      </c>
      <c r="T23" s="24" t="n">
        <v>0</v>
      </c>
    </row>
    <row r="24" ht="18" customHeight="1">
      <c r="B24" s="12" t="inlineStr">
        <is>
          <t>To</t>
        </is>
      </c>
      <c r="C24" s="28" t="inlineStr">
        <is>
          <t>Max  (radio button)</t>
        </is>
      </c>
      <c r="N24" s="11" t="n">
        <v>9</v>
      </c>
      <c r="O24" s="11" t="n">
        <v>1</v>
      </c>
      <c r="P24" s="12" t="inlineStr">
        <is>
          <t>Resurface + Turn-lane improvements</t>
        </is>
      </c>
      <c r="Q24" s="23">
        <f>Inputs!G29</f>
        <v/>
      </c>
      <c r="R24" s="23">
        <f>Inputs!J29</f>
        <v/>
      </c>
      <c r="S24" s="23">
        <f>Inputs!K29</f>
        <v/>
      </c>
      <c r="T24" s="24" t="n">
        <v>0</v>
      </c>
    </row>
    <row r="25" ht="18" customHeight="1">
      <c r="B25" s="12" t="inlineStr">
        <is>
          <t>By Changing Cells</t>
        </is>
      </c>
      <c r="C25" s="28" t="inlineStr">
        <is>
          <t>$T$6:$T$26</t>
        </is>
      </c>
      <c r="N25" s="15" t="n">
        <v>10</v>
      </c>
      <c r="O25" s="15" t="n">
        <v>0</v>
      </c>
      <c r="P25" s="16" t="inlineStr">
        <is>
          <t>Do nothing</t>
        </is>
      </c>
      <c r="Q25" s="26">
        <f>Inputs!G30</f>
        <v/>
      </c>
      <c r="R25" s="26">
        <f>Inputs!J30</f>
        <v/>
      </c>
      <c r="S25" s="26">
        <f>Inputs!K30</f>
        <v/>
      </c>
      <c r="T25" s="24" t="n">
        <v>0</v>
      </c>
    </row>
    <row r="26" ht="18" customHeight="1">
      <c r="B26" s="12" t="inlineStr">
        <is>
          <t>Solving Method</t>
        </is>
      </c>
      <c r="C26" s="28" t="inlineStr">
        <is>
          <t>Simplex LP</t>
        </is>
      </c>
      <c r="N26" s="11" t="n">
        <v>10</v>
      </c>
      <c r="O26" s="11" t="n">
        <v>1</v>
      </c>
      <c r="P26" s="12" t="inlineStr">
        <is>
          <t>Resurface + Widen shoulders 4-6ft + Horiz curve + Turn-lane</t>
        </is>
      </c>
      <c r="Q26" s="23">
        <f>Inputs!G31</f>
        <v/>
      </c>
      <c r="R26" s="23">
        <f>Inputs!J31</f>
        <v/>
      </c>
      <c r="S26" s="23">
        <f>Inputs!K31</f>
        <v/>
      </c>
      <c r="T26" s="24" t="n">
        <v>0</v>
      </c>
    </row>
    <row r="29" ht="22" customHeight="1">
      <c r="B29" s="22" t="inlineStr">
        <is>
          <t>Constraints (click 'Add' for each row)</t>
        </is>
      </c>
      <c r="N29" s="2" t="inlineStr">
        <is>
          <t>Aggregates</t>
        </is>
      </c>
    </row>
    <row r="30" ht="22" customHeight="1">
      <c r="B30" s="10" t="inlineStr">
        <is>
          <t>Cell Reference</t>
        </is>
      </c>
      <c r="C30" s="10" t="inlineStr">
        <is>
          <t>Op</t>
        </is>
      </c>
      <c r="D30" s="10" t="inlineStr">
        <is>
          <t>Constraint</t>
        </is>
      </c>
      <c r="N30" s="5" t="inlineStr">
        <is>
          <t>Total cost</t>
        </is>
      </c>
      <c r="Q30" s="14">
        <f>SUMPRODUCT(Q6:Q26,T6:T26)</f>
        <v/>
      </c>
    </row>
    <row r="31" ht="18" customHeight="1">
      <c r="B31" s="28" t="inlineStr">
        <is>
          <t>$T$6:$T$26</t>
        </is>
      </c>
      <c r="C31" s="29" t="inlineStr">
        <is>
          <t>bin</t>
        </is>
      </c>
      <c r="D31" s="29" t="inlineStr">
        <is>
          <t>—</t>
        </is>
      </c>
      <c r="N31" s="5" t="inlineStr">
        <is>
          <t>Total benefit</t>
        </is>
      </c>
      <c r="Q31" s="14">
        <f>SUMPRODUCT(R6:R26,T6:T26)</f>
        <v/>
      </c>
    </row>
    <row r="32" ht="18" customHeight="1">
      <c r="B32" s="28" t="inlineStr">
        <is>
          <t>$Q$30</t>
        </is>
      </c>
      <c r="C32" s="29" t="inlineStr">
        <is>
          <t>&lt;=</t>
        </is>
      </c>
      <c r="D32" s="29" t="inlineStr">
        <is>
          <t>50000000</t>
        </is>
      </c>
      <c r="N32" s="30" t="inlineStr">
        <is>
          <t>Net benefit (objective)</t>
        </is>
      </c>
      <c r="Q32" s="31">
        <f>SUMPRODUCT(S6:S26,T6:T26)</f>
        <v/>
      </c>
    </row>
    <row r="33" ht="18" customHeight="1">
      <c r="B33" s="28" t="inlineStr">
        <is>
          <t>$O$37</t>
        </is>
      </c>
      <c r="C33" s="29" t="inlineStr">
        <is>
          <t>&lt;=</t>
        </is>
      </c>
      <c r="D33" s="29" t="inlineStr">
        <is>
          <t>1</t>
        </is>
      </c>
    </row>
    <row r="34" ht="18" customHeight="1">
      <c r="B34" s="28" t="inlineStr">
        <is>
          <t>$O$38</t>
        </is>
      </c>
      <c r="C34" s="29" t="inlineStr">
        <is>
          <t>&lt;=</t>
        </is>
      </c>
      <c r="D34" s="29" t="inlineStr">
        <is>
          <t>1</t>
        </is>
      </c>
    </row>
    <row r="35" ht="18" customHeight="1">
      <c r="B35" s="28" t="inlineStr">
        <is>
          <t>$O$39</t>
        </is>
      </c>
      <c r="C35" s="29" t="inlineStr">
        <is>
          <t>&lt;=</t>
        </is>
      </c>
      <c r="D35" s="29" t="inlineStr">
        <is>
          <t>1</t>
        </is>
      </c>
      <c r="N35" s="2" t="inlineStr">
        <is>
          <t>Pick at most one alternative per site</t>
        </is>
      </c>
    </row>
    <row r="36" ht="18" customHeight="1">
      <c r="B36" s="28" t="inlineStr">
        <is>
          <t>$O$40</t>
        </is>
      </c>
      <c r="C36" s="29" t="inlineStr">
        <is>
          <t>&lt;=</t>
        </is>
      </c>
      <c r="D36" s="29" t="inlineStr">
        <is>
          <t>1</t>
        </is>
      </c>
      <c r="N36" s="10" t="inlineStr">
        <is>
          <t>Site</t>
        </is>
      </c>
      <c r="O36" s="10" t="inlineStr">
        <is>
          <t>Sum of decisions</t>
        </is>
      </c>
      <c r="P36" s="10" t="inlineStr">
        <is>
          <t>Limit</t>
        </is>
      </c>
    </row>
    <row r="37" ht="18" customHeight="1">
      <c r="B37" s="28" t="inlineStr">
        <is>
          <t>$O$41</t>
        </is>
      </c>
      <c r="C37" s="29" t="inlineStr">
        <is>
          <t>&lt;=</t>
        </is>
      </c>
      <c r="D37" s="29" t="inlineStr">
        <is>
          <t>1</t>
        </is>
      </c>
      <c r="N37" s="11" t="n">
        <v>1</v>
      </c>
      <c r="O37" s="32">
        <f>SUM(T6,T7)</f>
        <v/>
      </c>
      <c r="P37" s="33" t="n">
        <v>1</v>
      </c>
    </row>
    <row r="38" ht="18" customHeight="1">
      <c r="B38" s="28" t="inlineStr">
        <is>
          <t>$O$42</t>
        </is>
      </c>
      <c r="C38" s="29" t="inlineStr">
        <is>
          <t>&lt;=</t>
        </is>
      </c>
      <c r="D38" s="29" t="inlineStr">
        <is>
          <t>1</t>
        </is>
      </c>
      <c r="N38" s="15" t="n">
        <v>2</v>
      </c>
      <c r="O38" s="34">
        <f>SUM(T8,T9)</f>
        <v/>
      </c>
      <c r="P38" s="35" t="n">
        <v>1</v>
      </c>
    </row>
    <row r="39" ht="18" customHeight="1">
      <c r="B39" s="28" t="inlineStr">
        <is>
          <t>$O$43</t>
        </is>
      </c>
      <c r="C39" s="29" t="inlineStr">
        <is>
          <t>&lt;=</t>
        </is>
      </c>
      <c r="D39" s="29" t="inlineStr">
        <is>
          <t>1</t>
        </is>
      </c>
      <c r="N39" s="11" t="n">
        <v>3</v>
      </c>
      <c r="O39" s="32">
        <f>SUM(T10,T11)</f>
        <v/>
      </c>
      <c r="P39" s="33" t="n">
        <v>1</v>
      </c>
    </row>
    <row r="40" ht="18" customHeight="1">
      <c r="B40" s="28" t="inlineStr">
        <is>
          <t>$O$44</t>
        </is>
      </c>
      <c r="C40" s="29" t="inlineStr">
        <is>
          <t>&lt;=</t>
        </is>
      </c>
      <c r="D40" s="29" t="inlineStr">
        <is>
          <t>1</t>
        </is>
      </c>
      <c r="N40" s="15" t="n">
        <v>4</v>
      </c>
      <c r="O40" s="34">
        <f>SUM(T12,T13)</f>
        <v/>
      </c>
      <c r="P40" s="35" t="n">
        <v>1</v>
      </c>
    </row>
    <row r="41" ht="18" customHeight="1">
      <c r="B41" s="28" t="inlineStr">
        <is>
          <t>$O$45</t>
        </is>
      </c>
      <c r="C41" s="29" t="inlineStr">
        <is>
          <t>&lt;=</t>
        </is>
      </c>
      <c r="D41" s="29" t="inlineStr">
        <is>
          <t>1</t>
        </is>
      </c>
      <c r="N41" s="11" t="n">
        <v>5</v>
      </c>
      <c r="O41" s="32">
        <f>SUM(T14,T15)</f>
        <v/>
      </c>
      <c r="P41" s="33" t="n">
        <v>1</v>
      </c>
    </row>
    <row r="42" ht="18" customHeight="1">
      <c r="B42" s="28" t="inlineStr">
        <is>
          <t>$O$46</t>
        </is>
      </c>
      <c r="C42" s="29" t="inlineStr">
        <is>
          <t>&lt;=</t>
        </is>
      </c>
      <c r="D42" s="29" t="inlineStr">
        <is>
          <t>1</t>
        </is>
      </c>
      <c r="N42" s="15" t="n">
        <v>6</v>
      </c>
      <c r="O42" s="34">
        <f>SUM(T16,T17)</f>
        <v/>
      </c>
      <c r="P42" s="35" t="n">
        <v>1</v>
      </c>
    </row>
    <row r="43" ht="18" customHeight="1">
      <c r="N43" s="11" t="n">
        <v>7</v>
      </c>
      <c r="O43" s="32">
        <f>SUM(T18,T19)</f>
        <v/>
      </c>
      <c r="P43" s="33" t="n">
        <v>1</v>
      </c>
    </row>
    <row r="44" ht="22" customHeight="1">
      <c r="B44" s="22" t="inlineStr">
        <is>
          <t>Bottom of dialog</t>
        </is>
      </c>
      <c r="N44" s="15" t="n">
        <v>8</v>
      </c>
      <c r="O44" s="34">
        <f>SUM(T20,T21,T22)</f>
        <v/>
      </c>
      <c r="P44" s="35" t="n">
        <v>1</v>
      </c>
    </row>
    <row r="45" ht="18" customHeight="1">
      <c r="B45" s="12" t="inlineStr">
        <is>
          <t>Make Unconstrained Vars Non-Negative</t>
        </is>
      </c>
      <c r="C45" s="28" t="inlineStr">
        <is>
          <t>checked (default)</t>
        </is>
      </c>
      <c r="N45" s="11" t="n">
        <v>9</v>
      </c>
      <c r="O45" s="32">
        <f>SUM(T23,T24)</f>
        <v/>
      </c>
      <c r="P45" s="33" t="n">
        <v>1</v>
      </c>
    </row>
    <row r="46" ht="18" customHeight="1">
      <c r="B46" s="12" t="inlineStr">
        <is>
          <t>Solving Method</t>
        </is>
      </c>
      <c r="C46" s="28" t="inlineStr">
        <is>
          <t>Simplex LP</t>
        </is>
      </c>
      <c r="N46" s="15" t="n">
        <v>10</v>
      </c>
      <c r="O46" s="34">
        <f>SUM(T25,T26)</f>
        <v/>
      </c>
      <c r="P46" s="3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</cols>
  <sheetData>
    <row r="2" ht="22" customHeight="1">
      <c r="B2" s="1" t="inlineStr">
        <is>
          <t>Results</t>
        </is>
      </c>
    </row>
    <row r="4">
      <c r="B4" s="2" t="inlineStr">
        <is>
          <t>Summary</t>
        </is>
      </c>
    </row>
    <row r="5">
      <c r="B5" s="30" t="inlineStr">
        <is>
          <t>Match indicator</t>
        </is>
      </c>
      <c r="C5" s="36">
        <f>IF(SUM(Optimization!T6:T26)=0,"Run Solver",IF(ROUND(Optimization!Q32,0)=ROUND(D5,0),"PASS","FAIL"))</f>
        <v/>
      </c>
      <c r="D5" s="6" t="n">
        <v>6159512</v>
      </c>
    </row>
    <row r="7">
      <c r="B7" s="37" t="inlineStr">
        <is>
          <t>Quantity</t>
        </is>
      </c>
      <c r="C7" s="37" t="inlineStr">
        <is>
          <t>Solver result</t>
        </is>
      </c>
      <c r="D7" s="37" t="inlineStr">
        <is>
          <t>Expected</t>
        </is>
      </c>
    </row>
    <row r="8">
      <c r="B8" s="5" t="inlineStr">
        <is>
          <t>Total cost</t>
        </is>
      </c>
      <c r="C8" s="38">
        <f>Optimization!Q30</f>
        <v/>
      </c>
      <c r="D8" s="6" t="n">
        <v>16271247</v>
      </c>
    </row>
    <row r="9">
      <c r="B9" s="5" t="inlineStr">
        <is>
          <t>Total net benefit</t>
        </is>
      </c>
      <c r="C9" s="38">
        <f>Optimization!Q32</f>
        <v/>
      </c>
      <c r="D9" s="6" t="n">
        <v>6159512</v>
      </c>
    </row>
    <row r="11">
      <c r="B11" s="2" t="inlineStr">
        <is>
          <t>Selected alternatives</t>
        </is>
      </c>
    </row>
    <row r="12">
      <c r="B12" s="37" t="inlineStr">
        <is>
          <t>Site</t>
        </is>
      </c>
      <c r="C12" s="37" t="inlineStr">
        <is>
          <t>Alt</t>
        </is>
      </c>
      <c r="D12" s="37" t="inlineStr">
        <is>
          <t>Description</t>
        </is>
      </c>
    </row>
    <row r="13">
      <c r="B13" s="39" t="n">
        <v>1</v>
      </c>
      <c r="C13" s="40">
        <f>Optimization!T6*Optimization!O6+Optimization!T7*Optimization!O7</f>
        <v/>
      </c>
      <c r="D13" s="41">
        <f>IF(Optimization!T6=1,Optimization!P6,IF(Optimization!T7=1,Optimization!P7,"(none selected)"))</f>
        <v/>
      </c>
    </row>
    <row r="14">
      <c r="B14" s="39" t="n">
        <v>2</v>
      </c>
      <c r="C14" s="40">
        <f>Optimization!T8*Optimization!O8+Optimization!T9*Optimization!O9</f>
        <v/>
      </c>
      <c r="D14" s="41">
        <f>IF(Optimization!T8=1,Optimization!P8,IF(Optimization!T9=1,Optimization!P9,"(none selected)"))</f>
        <v/>
      </c>
    </row>
    <row r="15">
      <c r="B15" s="39" t="n">
        <v>3</v>
      </c>
      <c r="C15" s="40">
        <f>Optimization!T10*Optimization!O10+Optimization!T11*Optimization!O11</f>
        <v/>
      </c>
      <c r="D15" s="41">
        <f>IF(Optimization!T10=1,Optimization!P10,IF(Optimization!T11=1,Optimization!P11,"(none selected)"))</f>
        <v/>
      </c>
    </row>
    <row r="16">
      <c r="B16" s="39" t="n">
        <v>4</v>
      </c>
      <c r="C16" s="40">
        <f>Optimization!T12*Optimization!O12+Optimization!T13*Optimization!O13</f>
        <v/>
      </c>
      <c r="D16" s="41">
        <f>IF(Optimization!T12=1,Optimization!P12,IF(Optimization!T13=1,Optimization!P13,"(none selected)"))</f>
        <v/>
      </c>
    </row>
    <row r="17">
      <c r="B17" s="39" t="n">
        <v>5</v>
      </c>
      <c r="C17" s="40">
        <f>Optimization!T14*Optimization!O14+Optimization!T15*Optimization!O15</f>
        <v/>
      </c>
      <c r="D17" s="41">
        <f>IF(Optimization!T14=1,Optimization!P14,IF(Optimization!T15=1,Optimization!P15,"(none selected)"))</f>
        <v/>
      </c>
    </row>
    <row r="18">
      <c r="B18" s="39" t="n">
        <v>6</v>
      </c>
      <c r="C18" s="40">
        <f>Optimization!T16*Optimization!O16+Optimization!T17*Optimization!O17</f>
        <v/>
      </c>
      <c r="D18" s="41">
        <f>IF(Optimization!T16=1,Optimization!P16,IF(Optimization!T17=1,Optimization!P17,"(none selected)"))</f>
        <v/>
      </c>
    </row>
    <row r="19">
      <c r="B19" s="39" t="n">
        <v>7</v>
      </c>
      <c r="C19" s="40">
        <f>Optimization!T18*Optimization!O18+Optimization!T19*Optimization!O19</f>
        <v/>
      </c>
      <c r="D19" s="41">
        <f>IF(Optimization!T18=1,Optimization!P18,IF(Optimization!T19=1,Optimization!P19,"(none selected)"))</f>
        <v/>
      </c>
    </row>
    <row r="20">
      <c r="B20" s="39" t="n">
        <v>8</v>
      </c>
      <c r="C20" s="40">
        <f>Optimization!T20*Optimization!O20+Optimization!T21*Optimization!O21+Optimization!T22*Optimization!O22</f>
        <v/>
      </c>
      <c r="D20" s="41">
        <f>IF(Optimization!T20=1,Optimization!P20,IF(Optimization!T21=1,Optimization!P21,IF(Optimization!T22=1,Optimization!P22,"(none selected)")))</f>
        <v/>
      </c>
    </row>
    <row r="21">
      <c r="B21" s="39" t="n">
        <v>9</v>
      </c>
      <c r="C21" s="40">
        <f>Optimization!T23*Optimization!O23+Optimization!T24*Optimization!O24</f>
        <v/>
      </c>
      <c r="D21" s="41">
        <f>IF(Optimization!T23=1,Optimization!P23,IF(Optimization!T24=1,Optimization!P24,"(none selected)"))</f>
        <v/>
      </c>
    </row>
    <row r="22">
      <c r="B22" s="39" t="n">
        <v>10</v>
      </c>
      <c r="C22" s="40">
        <f>Optimization!T25*Optimization!O25+Optimization!T26*Optimization!O26</f>
        <v/>
      </c>
      <c r="D22" s="41">
        <f>IF(Optimization!T25=1,Optimization!P25,IF(Optimization!T26=1,Optimization!P26,"(none selected)"))</f>
        <v/>
      </c>
    </row>
  </sheetData>
  <conditionalFormatting sqref="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"Run Solver"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Siddiqui, Ameen</dc:creator>
  <dc:title xmlns:dc="http://purl.org/dc/elements/1.1/">MCBOMs Harwood (2003) — $50M Budget Validation Workbook</dc:title>
  <dc:description xmlns:dc="http://purl.org/dc/elements/1.1/">Texas A&amp;M Transportation Institute. Excel implementation of the MCBOMs MILP (Chapter 2 of the Methodology; Python in optimizer.py) for the Harwood (2003) 10-site case study at the $50M budget. Expected net benefit $6,159,512.</dc:description>
  <dc:subject xmlns:dc="http://purl.org/dc/elements/1.1/">MCBOMs Task 4 Deliverable</dc:subject>
  <dcterms:created xmlns:dcterms="http://purl.org/dc/terms/" xmlns:xsi="http://www.w3.org/2001/XMLSchema-instance" xsi:type="dcterms:W3CDTF">2026-04-27T22:54:47Z</dcterms:created>
  <dcterms:modified xmlns:dcterms="http://purl.org/dc/terms/" xmlns:xsi="http://www.w3.org/2001/XMLSchema-instance" xsi:type="dcterms:W3CDTF">2026-04-27T22:54:47Z</dcterms:modified>
  <cp:lastModifiedBy>Siddiqui, Ameen</cp:lastModifiedBy>
  <cp:category>MCBOMs Validation Workbooks</cp:category>
  <cp:keywords>MCBOMs MILP Excel Solver FHWA Task 4 validation TTI</cp:keywords>
</cp:coreProperties>
</file>

<file path=docProps/custom.xml><?xml version="1.0" encoding="utf-8"?>
<Properties xmlns="http://schemas.openxmlformats.org/officeDocument/2006/custom-properties">
  <property name="Company" fmtid="{D5CDD505-2E9C-101B-9397-08002B2CF9AE}" pid="2">
    <vt:lpwstr xmlns:vt="http://schemas.openxmlformats.org/officeDocument/2006/docPropsVTypes">Texas A&amp;M Transportation Institute</vt:lpwstr>
  </property>
</Properties>
</file>