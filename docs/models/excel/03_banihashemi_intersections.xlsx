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(&quot;$&quot;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color rgb="000000FF"/>
      <sz val="11"/>
    </font>
    <font>
      <name val="Calibri"/>
      <color rgb="00000000"/>
      <sz val="11"/>
    </font>
    <font>
      <name val="Calibri"/>
      <color rgb="00008000"/>
      <sz val="11"/>
    </font>
    <font>
      <name val="Calibri"/>
      <b val="1"/>
      <color rgb="00FFFFFF"/>
      <sz val="12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164" fontId="6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9" fillId="5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ont>
        <name val="Calibri"/>
        <b val="1"/>
        <color rgb="009C5700"/>
        <sz val="11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2" ht="22" customHeight="1">
      <c r="B2" s="1" t="inlineStr">
        <is>
          <t>MCBOMs Banihashemi (2007) Intersection Sub-Problem</t>
        </is>
      </c>
    </row>
    <row r="4">
      <c r="B4" s="2" t="inlineStr">
        <is>
          <t>Purpose</t>
        </is>
      </c>
    </row>
    <row r="5" ht="18" customHeight="1">
      <c r="B5" s="3" t="inlineStr">
        <is>
          <t>This workbook implements the MCBOMs MILP — the same Mixed-Integer Linear Program specified in Chapter 2 of the Methodology document and implemented in Python in the project's optimizer module — using the Solver add-in built into Microsoft Excel. It validates the MILP against the Banihashemi (2007) 13-intersection sub-problem. The alternatives include left-turn-lane addition, traffic-control changes, sight-distance correction, and skew-angle adjustment, with cost and benefit values computed parametrically using the IHSDM Crash Prediction Module (Banihashemi Eq. 15). All five forms of the MCBOMs MILP — Python, AMPL, GAMS, LP, and this Excel implementation — produce numerically identical results. Project website: https://ttitamu.github.io/mcboms-optimization.</t>
        </is>
      </c>
    </row>
    <row r="6" ht="18" customHeight="1"/>
    <row r="7" ht="18" customHeight="1"/>
    <row r="8" ht="18" customHeight="1"/>
    <row r="9" ht="18" customHeight="1"/>
    <row r="11">
      <c r="B11" s="2" t="inlineStr">
        <is>
          <t>Problem</t>
        </is>
      </c>
    </row>
    <row r="12" ht="18" customHeight="1">
      <c r="B12" s="3" t="inlineStr">
        <is>
          <t>13 intersections with 2-5 alternatives each (43 alternatives total). The optimizer chooses at most one alternative per intersection, subject to a $12,000,000 total budget. Some intersections have all-negative net-benefit alternatives, in which case the optimal choice is to select no alternative for that intersection.</t>
        </is>
      </c>
    </row>
    <row r="13" ht="18" customHeight="1"/>
    <row r="14" ht="18" customHeight="1"/>
    <row r="15" ht="18" customHeight="1"/>
    <row r="17">
      <c r="B17" s="2" t="inlineStr">
        <is>
          <t>Expected result</t>
        </is>
      </c>
    </row>
    <row r="18">
      <c r="B18" s="4" t="inlineStr">
        <is>
          <t>Quantity</t>
        </is>
      </c>
      <c r="C18" s="4" t="inlineStr">
        <is>
          <t>Value</t>
        </is>
      </c>
    </row>
    <row r="19">
      <c r="B19" s="5" t="inlineStr">
        <is>
          <t>Total expenditure</t>
        </is>
      </c>
      <c r="C19" s="6" t="n">
        <v>3200000</v>
      </c>
    </row>
    <row r="20">
      <c r="B20" s="5" t="inlineStr">
        <is>
          <t>Total net benefit (objective)</t>
        </is>
      </c>
      <c r="C20" s="6" t="n">
        <v>5177251</v>
      </c>
    </row>
    <row r="21">
      <c r="B21" s="5" t="inlineStr">
        <is>
          <t>Budget</t>
        </is>
      </c>
      <c r="C21" s="6" t="n">
        <v>12000000</v>
      </c>
    </row>
    <row r="22">
      <c r="B22" s="5" t="inlineStr">
        <is>
          <t>Budget utilization</t>
        </is>
      </c>
      <c r="C22" s="7" t="n">
        <v>0.2666666666666667</v>
      </c>
    </row>
    <row r="23">
      <c r="B23" s="5" t="inlineStr">
        <is>
          <t>Number of intersections improved</t>
        </is>
      </c>
      <c r="C23" s="8" t="n">
        <v>7</v>
      </c>
    </row>
    <row r="26">
      <c r="B26" s="2" t="inlineStr">
        <is>
          <t>How to run</t>
        </is>
      </c>
    </row>
    <row r="27" ht="32" customHeight="1">
      <c r="B27" s="3" t="inlineStr">
        <is>
          <t>1. Open this workbook in Microsoft Excel (desktop). The Solver add-in must be enabled — see 'How to enable the Solver add-in' below if Solver does not appear on the Data tab.</t>
        </is>
      </c>
    </row>
    <row r="28" ht="32" customHeight="1">
      <c r="B28" s="3" t="inlineStr">
        <is>
          <t>2. Go to the 'Optimization' sheet. Verify that the decision-variable cells (yellow-shaded, 'Fund? (0/1)' column) are currently 0.</t>
        </is>
      </c>
    </row>
    <row r="29" ht="32" customHeight="1">
      <c r="B29" s="3" t="inlineStr">
        <is>
          <t>3. On the Data tab, click Solver. The Solver Parameters dialog opens.</t>
        </is>
      </c>
    </row>
    <row r="30" ht="32" customHeight="1">
      <c r="B30" s="3" t="inlineStr">
        <is>
          <t>4. Configure Solver per the instructions on the right-side panel of the 'Optimization' sheet (objective cell, decision range, constraints).</t>
        </is>
      </c>
    </row>
    <row r="31" ht="32" customHeight="1">
      <c r="B31" s="3" t="inlineStr">
        <is>
          <t>5. Click Solve. When the Solver Results dialog appears, choose 'Keep Solver Solution' and click OK.</t>
        </is>
      </c>
    </row>
    <row r="32" ht="32" customHeight="1">
      <c r="B32" s="3" t="inlineStr">
        <is>
          <t>6. Verify the answer matches the 'Expected result' table above. The 'Results' sheet shows the selected alternatives and a match indicator that displays 'Run Solver' (yellow) before Solver has been used, 'PASS' (green) once the optimal answer is reached, or 'FAIL' (red) if the answer does not match.</t>
        </is>
      </c>
    </row>
    <row r="34">
      <c r="B34" s="2" t="inlineStr">
        <is>
          <t>How to enable the Solver add-in (one-time setup)</t>
        </is>
      </c>
    </row>
    <row r="35" ht="18" customHeight="1">
      <c r="B35" s="3" t="inlineStr">
        <is>
          <t>Skip this section if the Solver button is already visible on the Data tab.</t>
        </is>
      </c>
    </row>
    <row r="36" ht="18" customHeight="1">
      <c r="B36" s="3" t="inlineStr">
        <is>
          <t>1. File → Options → Add-ins.</t>
        </is>
      </c>
    </row>
    <row r="37" ht="18" customHeight="1">
      <c r="B37" s="3" t="inlineStr">
        <is>
          <t>2. At the bottom, set Manage to 'Excel Add-ins' and click Go.</t>
        </is>
      </c>
    </row>
    <row r="38" ht="18" customHeight="1">
      <c r="B38" s="3" t="inlineStr">
        <is>
          <t>3. Check the 'Solver Add-in' box and click OK.</t>
        </is>
      </c>
    </row>
    <row r="39" ht="18" customHeight="1">
      <c r="B39" s="3" t="inlineStr">
        <is>
          <t>4. The Solver button now appears on the Data tab in the Analyze group.</t>
        </is>
      </c>
    </row>
    <row r="41">
      <c r="B41" s="2" t="inlineStr">
        <is>
          <t>References</t>
        </is>
      </c>
    </row>
    <row r="42" ht="28" customHeight="1">
      <c r="B42" s="3" t="inlineStr">
        <is>
          <t>Banihashemi, M. (2007). Optimization of highway safety and operation by using crash prediction models with accident modification factors. Transportation Research Record 2019(1), 111–117.</t>
        </is>
      </c>
    </row>
    <row r="43" ht="28" customHeight="1">
      <c r="B43" s="3" t="inlineStr">
        <is>
          <t>MCBOMs Methodology, Section 2.7 — validation against Banihashemi</t>
        </is>
      </c>
    </row>
    <row r="44" ht="28" customHeight="1">
      <c r="B44" s="3" t="inlineStr">
        <is>
          <t>MCBOMs project website — https://ttitamu.github.io/mcboms-optimization</t>
        </is>
      </c>
    </row>
  </sheetData>
  <mergeCells count="16">
    <mergeCell ref="B30:F30"/>
    <mergeCell ref="B44:F44"/>
    <mergeCell ref="B43:F43"/>
    <mergeCell ref="B29:F29"/>
    <mergeCell ref="B39:F39"/>
    <mergeCell ref="B38:F38"/>
    <mergeCell ref="B12:F15"/>
    <mergeCell ref="B28:F28"/>
    <mergeCell ref="B42:F42"/>
    <mergeCell ref="B37:F37"/>
    <mergeCell ref="B31:F31"/>
    <mergeCell ref="B36:F36"/>
    <mergeCell ref="B32:F32"/>
    <mergeCell ref="B5:F9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3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2" customHeight="1">
      <c r="B2" s="1" t="inlineStr">
        <is>
          <t>Inputs (Banihashemi 2007 intersection sub-problem)</t>
        </is>
      </c>
    </row>
    <row r="3">
      <c r="B3" s="9" t="inlineStr">
        <is>
          <t>Per-intersection alternatives with cost and benefit values computed parametrically using the IHSDM Crash Prediction Module (Banihashemi Eq. 15) and standard FHWA-RD-99-207 AMF values. Some alternatives have negative total benefit because the intersection has natural improvement potential below zero (the do-nothing baseline includes ongoing crash and delay costs).</t>
        </is>
      </c>
    </row>
    <row r="4"/>
    <row r="5"/>
    <row r="6"/>
    <row r="7"/>
    <row r="9">
      <c r="B9" s="2" t="inlineStr">
        <is>
          <t>Budget</t>
        </is>
      </c>
      <c r="E9" s="10" t="n">
        <v>12000000</v>
      </c>
    </row>
    <row r="10">
      <c r="B10" s="11" t="inlineStr">
        <is>
          <t>Intersection</t>
        </is>
      </c>
      <c r="C10" s="11" t="inlineStr">
        <is>
          <t>Alt</t>
        </is>
      </c>
      <c r="D10" s="11" t="inlineStr">
        <is>
          <t>Description</t>
        </is>
      </c>
      <c r="E10" s="11" t="inlineStr">
        <is>
          <t>Resurf cost</t>
        </is>
      </c>
      <c r="F10" s="11" t="inlineStr">
        <is>
          <t>Safety cost</t>
        </is>
      </c>
      <c r="G10" s="11" t="inlineStr">
        <is>
          <t>Total cost</t>
        </is>
      </c>
      <c r="H10" s="11" t="inlineStr">
        <is>
          <t>Crash ben</t>
        </is>
      </c>
      <c r="I10" s="11" t="inlineStr">
        <is>
          <t>Delay ben</t>
        </is>
      </c>
      <c r="J10" s="11" t="inlineStr">
        <is>
          <t>Total ben</t>
        </is>
      </c>
      <c r="K10" s="11" t="inlineStr">
        <is>
          <t>Net benefit</t>
        </is>
      </c>
    </row>
    <row r="11">
      <c r="B11" s="12" t="n">
        <v>1</v>
      </c>
      <c r="C11" s="12" t="n">
        <v>0</v>
      </c>
      <c r="D11" s="13" t="inlineStr">
        <is>
          <t>Int 1 combo 0</t>
        </is>
      </c>
      <c r="E11" s="14" t="n">
        <v>0</v>
      </c>
      <c r="F11" s="14" t="n">
        <v>0</v>
      </c>
      <c r="G11" s="15">
        <f>E11+F11</f>
        <v/>
      </c>
      <c r="H11" s="14" t="n">
        <v>0</v>
      </c>
      <c r="I11" s="14" t="n">
        <v>0</v>
      </c>
      <c r="J11" s="15">
        <f>H11+I11</f>
        <v/>
      </c>
      <c r="K11" s="15">
        <f>J11-G11</f>
        <v/>
      </c>
    </row>
    <row r="12">
      <c r="B12" s="16" t="n">
        <v>1</v>
      </c>
      <c r="C12" s="16" t="n">
        <v>1</v>
      </c>
      <c r="D12" s="17" t="inlineStr">
        <is>
          <t>Int 1 combo 1</t>
        </is>
      </c>
      <c r="E12" s="18" t="n">
        <v>0</v>
      </c>
      <c r="F12" s="18" t="n">
        <v>300000</v>
      </c>
      <c r="G12" s="19">
        <f>E12+F12</f>
        <v/>
      </c>
      <c r="H12" s="18" t="n">
        <v>1147066.56182993</v>
      </c>
      <c r="I12" s="18" t="n">
        <v>0</v>
      </c>
      <c r="J12" s="19">
        <f>H12+I12</f>
        <v/>
      </c>
      <c r="K12" s="19">
        <f>J12-G12</f>
        <v/>
      </c>
    </row>
    <row r="13">
      <c r="B13" s="12" t="n">
        <v>1</v>
      </c>
      <c r="C13" s="12" t="n">
        <v>2</v>
      </c>
      <c r="D13" s="13" t="inlineStr">
        <is>
          <t>Int 1 combo 2</t>
        </is>
      </c>
      <c r="E13" s="14" t="n">
        <v>0</v>
      </c>
      <c r="F13" s="14" t="n">
        <v>0</v>
      </c>
      <c r="G13" s="15">
        <f>E13+F13</f>
        <v/>
      </c>
      <c r="H13" s="14" t="n">
        <v>-1910462.216518246</v>
      </c>
      <c r="I13" s="14" t="n">
        <v>0</v>
      </c>
      <c r="J13" s="15">
        <f>H13+I13</f>
        <v/>
      </c>
      <c r="K13" s="15">
        <f>J13-G13</f>
        <v/>
      </c>
    </row>
    <row r="14">
      <c r="B14" s="16" t="n">
        <v>1</v>
      </c>
      <c r="C14" s="16" t="n">
        <v>3</v>
      </c>
      <c r="D14" s="17" t="inlineStr">
        <is>
          <t>Int 1 combo 3</t>
        </is>
      </c>
      <c r="E14" s="18" t="n">
        <v>0</v>
      </c>
      <c r="F14" s="18" t="n">
        <v>300000</v>
      </c>
      <c r="G14" s="19">
        <f>E14+F14</f>
        <v/>
      </c>
      <c r="H14" s="18" t="n">
        <v>317734.3767627063</v>
      </c>
      <c r="I14" s="18" t="n">
        <v>0</v>
      </c>
      <c r="J14" s="19">
        <f>H14+I14</f>
        <v/>
      </c>
      <c r="K14" s="19">
        <f>J14-G14</f>
        <v/>
      </c>
    </row>
    <row r="15">
      <c r="B15" s="12" t="n">
        <v>2</v>
      </c>
      <c r="C15" s="12" t="n">
        <v>0</v>
      </c>
      <c r="D15" s="13" t="inlineStr">
        <is>
          <t>Int 2 combo 0</t>
        </is>
      </c>
      <c r="E15" s="14" t="n">
        <v>0</v>
      </c>
      <c r="F15" s="14" t="n">
        <v>0</v>
      </c>
      <c r="G15" s="15">
        <f>E15+F15</f>
        <v/>
      </c>
      <c r="H15" s="14" t="n">
        <v>0</v>
      </c>
      <c r="I15" s="14" t="n">
        <v>0</v>
      </c>
      <c r="J15" s="15">
        <f>H15+I15</f>
        <v/>
      </c>
      <c r="K15" s="15">
        <f>J15-G15</f>
        <v/>
      </c>
    </row>
    <row r="16">
      <c r="B16" s="16" t="n">
        <v>2</v>
      </c>
      <c r="C16" s="16" t="n">
        <v>1</v>
      </c>
      <c r="D16" s="17" t="inlineStr">
        <is>
          <t>Int 2 combo 1</t>
        </is>
      </c>
      <c r="E16" s="18" t="n">
        <v>0</v>
      </c>
      <c r="F16" s="18" t="n">
        <v>300000</v>
      </c>
      <c r="G16" s="19">
        <f>E16+F16</f>
        <v/>
      </c>
      <c r="H16" s="18" t="n">
        <v>1118018.439290877</v>
      </c>
      <c r="I16" s="18" t="n">
        <v>0</v>
      </c>
      <c r="J16" s="19">
        <f>H16+I16</f>
        <v/>
      </c>
      <c r="K16" s="19">
        <f>J16-G16</f>
        <v/>
      </c>
    </row>
    <row r="17">
      <c r="B17" s="12" t="n">
        <v>2</v>
      </c>
      <c r="C17" s="12" t="n">
        <v>2</v>
      </c>
      <c r="D17" s="13" t="inlineStr">
        <is>
          <t>Int 2 combo 2</t>
        </is>
      </c>
      <c r="E17" s="14" t="n">
        <v>0</v>
      </c>
      <c r="F17" s="14" t="n">
        <v>0</v>
      </c>
      <c r="G17" s="15">
        <f>E17+F17</f>
        <v/>
      </c>
      <c r="H17" s="14" t="n">
        <v>-1936869.600644657</v>
      </c>
      <c r="I17" s="14" t="n">
        <v>0</v>
      </c>
      <c r="J17" s="15">
        <f>H17+I17</f>
        <v/>
      </c>
      <c r="K17" s="15">
        <f>J17-G17</f>
        <v/>
      </c>
    </row>
    <row r="18">
      <c r="B18" s="16" t="n">
        <v>2</v>
      </c>
      <c r="C18" s="16" t="n">
        <v>3</v>
      </c>
      <c r="D18" s="17" t="inlineStr">
        <is>
          <t>Int 2 combo 3</t>
        </is>
      </c>
      <c r="E18" s="18" t="n">
        <v>0</v>
      </c>
      <c r="F18" s="18" t="n">
        <v>300000</v>
      </c>
      <c r="G18" s="19">
        <f>E18+F18</f>
        <v/>
      </c>
      <c r="H18" s="18" t="n">
        <v>270993.3068589559</v>
      </c>
      <c r="I18" s="18" t="n">
        <v>0</v>
      </c>
      <c r="J18" s="19">
        <f>H18+I18</f>
        <v/>
      </c>
      <c r="K18" s="19">
        <f>J18-G18</f>
        <v/>
      </c>
    </row>
    <row r="19">
      <c r="B19" s="12" t="n">
        <v>3</v>
      </c>
      <c r="C19" s="12" t="n">
        <v>0</v>
      </c>
      <c r="D19" s="13" t="inlineStr">
        <is>
          <t>Int 3 combo 0</t>
        </is>
      </c>
      <c r="E19" s="14" t="n">
        <v>0</v>
      </c>
      <c r="F19" s="14" t="n">
        <v>0</v>
      </c>
      <c r="G19" s="15">
        <f>E19+F19</f>
        <v/>
      </c>
      <c r="H19" s="14" t="n">
        <v>0</v>
      </c>
      <c r="I19" s="14" t="n">
        <v>0</v>
      </c>
      <c r="J19" s="15">
        <f>H19+I19</f>
        <v/>
      </c>
      <c r="K19" s="15">
        <f>J19-G19</f>
        <v/>
      </c>
    </row>
    <row r="20">
      <c r="B20" s="16" t="n">
        <v>3</v>
      </c>
      <c r="C20" s="16" t="n">
        <v>1</v>
      </c>
      <c r="D20" s="17" t="inlineStr">
        <is>
          <t>Int 3 combo 1</t>
        </is>
      </c>
      <c r="E20" s="18" t="n">
        <v>0</v>
      </c>
      <c r="F20" s="18" t="n">
        <v>0</v>
      </c>
      <c r="G20" s="19">
        <f>E20+F20</f>
        <v/>
      </c>
      <c r="H20" s="18" t="n">
        <v>-21355578.86342099</v>
      </c>
      <c r="I20" s="18" t="n">
        <v>0</v>
      </c>
      <c r="J20" s="19">
        <f>H20+I20</f>
        <v/>
      </c>
      <c r="K20" s="19">
        <f>J20-G20</f>
        <v/>
      </c>
    </row>
    <row r="21">
      <c r="B21" s="12" t="n">
        <v>4</v>
      </c>
      <c r="C21" s="12" t="n">
        <v>0</v>
      </c>
      <c r="D21" s="13" t="inlineStr">
        <is>
          <t>Int 4 combo 0</t>
        </is>
      </c>
      <c r="E21" s="14" t="n">
        <v>0</v>
      </c>
      <c r="F21" s="14" t="n">
        <v>0</v>
      </c>
      <c r="G21" s="15">
        <f>E21+F21</f>
        <v/>
      </c>
      <c r="H21" s="14" t="n">
        <v>0</v>
      </c>
      <c r="I21" s="14" t="n">
        <v>0</v>
      </c>
      <c r="J21" s="15">
        <f>H21+I21</f>
        <v/>
      </c>
      <c r="K21" s="15">
        <f>J21-G21</f>
        <v/>
      </c>
    </row>
    <row r="22">
      <c r="B22" s="16" t="n">
        <v>4</v>
      </c>
      <c r="C22" s="16" t="n">
        <v>1</v>
      </c>
      <c r="D22" s="17" t="inlineStr">
        <is>
          <t>Int 4 combo 1</t>
        </is>
      </c>
      <c r="E22" s="18" t="n">
        <v>0</v>
      </c>
      <c r="F22" s="18" t="n">
        <v>0</v>
      </c>
      <c r="G22" s="19">
        <f>E22+F22</f>
        <v/>
      </c>
      <c r="H22" s="18" t="n">
        <v>-15025870.75990524</v>
      </c>
      <c r="I22" s="18" t="n">
        <v>0</v>
      </c>
      <c r="J22" s="19">
        <f>H22+I22</f>
        <v/>
      </c>
      <c r="K22" s="19">
        <f>J22-G22</f>
        <v/>
      </c>
    </row>
    <row r="23">
      <c r="B23" s="12" t="n">
        <v>5</v>
      </c>
      <c r="C23" s="12" t="n">
        <v>0</v>
      </c>
      <c r="D23" s="13" t="inlineStr">
        <is>
          <t>Int 5 combo 0</t>
        </is>
      </c>
      <c r="E23" s="14" t="n">
        <v>0</v>
      </c>
      <c r="F23" s="14" t="n">
        <v>0</v>
      </c>
      <c r="G23" s="15">
        <f>E23+F23</f>
        <v/>
      </c>
      <c r="H23" s="14" t="n">
        <v>0</v>
      </c>
      <c r="I23" s="14" t="n">
        <v>0</v>
      </c>
      <c r="J23" s="15">
        <f>H23+I23</f>
        <v/>
      </c>
      <c r="K23" s="15">
        <f>J23-G23</f>
        <v/>
      </c>
    </row>
    <row r="24">
      <c r="B24" s="16" t="n">
        <v>5</v>
      </c>
      <c r="C24" s="16" t="n">
        <v>1</v>
      </c>
      <c r="D24" s="17" t="inlineStr">
        <is>
          <t>Int 5 combo 1</t>
        </is>
      </c>
      <c r="E24" s="18" t="n">
        <v>0</v>
      </c>
      <c r="F24" s="18" t="n">
        <v>400000</v>
      </c>
      <c r="G24" s="19">
        <f>E24+F24</f>
        <v/>
      </c>
      <c r="H24" s="18" t="n">
        <v>1143109.142152379</v>
      </c>
      <c r="I24" s="18" t="n">
        <v>0</v>
      </c>
      <c r="J24" s="19">
        <f>H24+I24</f>
        <v/>
      </c>
      <c r="K24" s="19">
        <f>J24-G24</f>
        <v/>
      </c>
    </row>
    <row r="25">
      <c r="B25" s="12" t="n">
        <v>5</v>
      </c>
      <c r="C25" s="12" t="n">
        <v>2</v>
      </c>
      <c r="D25" s="13" t="inlineStr">
        <is>
          <t>Int 5 combo 2</t>
        </is>
      </c>
      <c r="E25" s="14" t="n">
        <v>0</v>
      </c>
      <c r="F25" s="14" t="n">
        <v>0</v>
      </c>
      <c r="G25" s="15">
        <f>E25+F25</f>
        <v/>
      </c>
      <c r="H25" s="14" t="n">
        <v>-1914059.870770565</v>
      </c>
      <c r="I25" s="14" t="n">
        <v>0</v>
      </c>
      <c r="J25" s="15">
        <f>H25+I25</f>
        <v/>
      </c>
      <c r="K25" s="15">
        <f>J25-G25</f>
        <v/>
      </c>
    </row>
    <row r="26">
      <c r="B26" s="16" t="n">
        <v>5</v>
      </c>
      <c r="C26" s="16" t="n">
        <v>3</v>
      </c>
      <c r="D26" s="17" t="inlineStr">
        <is>
          <t>Int 5 combo 3</t>
        </is>
      </c>
      <c r="E26" s="18" t="n">
        <v>0</v>
      </c>
      <c r="F26" s="18" t="n">
        <v>400000</v>
      </c>
      <c r="G26" s="19">
        <f>E26+F26</f>
        <v/>
      </c>
      <c r="H26" s="18" t="n">
        <v>311366.5287361005</v>
      </c>
      <c r="I26" s="18" t="n">
        <v>0</v>
      </c>
      <c r="J26" s="19">
        <f>H26+I26</f>
        <v/>
      </c>
      <c r="K26" s="19">
        <f>J26-G26</f>
        <v/>
      </c>
    </row>
    <row r="27">
      <c r="B27" s="12" t="n">
        <v>6</v>
      </c>
      <c r="C27" s="12" t="n">
        <v>0</v>
      </c>
      <c r="D27" s="13" t="inlineStr">
        <is>
          <t>Int 6 combo 0</t>
        </is>
      </c>
      <c r="E27" s="14" t="n">
        <v>0</v>
      </c>
      <c r="F27" s="14" t="n">
        <v>0</v>
      </c>
      <c r="G27" s="15">
        <f>E27+F27</f>
        <v/>
      </c>
      <c r="H27" s="14" t="n">
        <v>0</v>
      </c>
      <c r="I27" s="14" t="n">
        <v>0</v>
      </c>
      <c r="J27" s="15">
        <f>H27+I27</f>
        <v/>
      </c>
      <c r="K27" s="15">
        <f>J27-G27</f>
        <v/>
      </c>
    </row>
    <row r="28">
      <c r="B28" s="16" t="n">
        <v>6</v>
      </c>
      <c r="C28" s="16" t="n">
        <v>1</v>
      </c>
      <c r="D28" s="17" t="inlineStr">
        <is>
          <t>Int 6 combo 1</t>
        </is>
      </c>
      <c r="E28" s="18" t="n">
        <v>0</v>
      </c>
      <c r="F28" s="18" t="n">
        <v>400000</v>
      </c>
      <c r="G28" s="19">
        <f>E28+F28</f>
        <v/>
      </c>
      <c r="H28" s="18" t="n">
        <v>1129487.361841653</v>
      </c>
      <c r="I28" s="18" t="n">
        <v>0</v>
      </c>
      <c r="J28" s="19">
        <f>H28+I28</f>
        <v/>
      </c>
      <c r="K28" s="19">
        <f>J28-G28</f>
        <v/>
      </c>
    </row>
    <row r="29">
      <c r="B29" s="12" t="n">
        <v>6</v>
      </c>
      <c r="C29" s="12" t="n">
        <v>2</v>
      </c>
      <c r="D29" s="13" t="inlineStr">
        <is>
          <t>Int 6 combo 2</t>
        </is>
      </c>
      <c r="E29" s="14" t="n">
        <v>0</v>
      </c>
      <c r="F29" s="14" t="n">
        <v>0</v>
      </c>
      <c r="G29" s="15">
        <f>E29+F29</f>
        <v/>
      </c>
      <c r="H29" s="14" t="n">
        <v>-1926443.307416679</v>
      </c>
      <c r="I29" s="14" t="n">
        <v>0</v>
      </c>
      <c r="J29" s="15">
        <f>H29+I29</f>
        <v/>
      </c>
      <c r="K29" s="15">
        <f>J29-G29</f>
        <v/>
      </c>
    </row>
    <row r="30">
      <c r="B30" s="16" t="n">
        <v>6</v>
      </c>
      <c r="C30" s="16" t="n">
        <v>3</v>
      </c>
      <c r="D30" s="17" t="inlineStr">
        <is>
          <t>Int 6 combo 3</t>
        </is>
      </c>
      <c r="E30" s="18" t="n">
        <v>0</v>
      </c>
      <c r="F30" s="18" t="n">
        <v>400000</v>
      </c>
      <c r="G30" s="19">
        <f>E30+F30</f>
        <v/>
      </c>
      <c r="H30" s="18" t="n">
        <v>289447.8458724786</v>
      </c>
      <c r="I30" s="18" t="n">
        <v>0</v>
      </c>
      <c r="J30" s="19">
        <f>H30+I30</f>
        <v/>
      </c>
      <c r="K30" s="19">
        <f>J30-G30</f>
        <v/>
      </c>
    </row>
    <row r="31">
      <c r="B31" s="12" t="n">
        <v>7</v>
      </c>
      <c r="C31" s="12" t="n">
        <v>0</v>
      </c>
      <c r="D31" s="13" t="inlineStr">
        <is>
          <t>Int 7 combo 0</t>
        </is>
      </c>
      <c r="E31" s="14" t="n">
        <v>0</v>
      </c>
      <c r="F31" s="14" t="n">
        <v>0</v>
      </c>
      <c r="G31" s="15">
        <f>E31+F31</f>
        <v/>
      </c>
      <c r="H31" s="14" t="n">
        <v>-2741473.925163519</v>
      </c>
      <c r="I31" s="14" t="n">
        <v>0</v>
      </c>
      <c r="J31" s="15">
        <f>H31+I31</f>
        <v/>
      </c>
      <c r="K31" s="15">
        <f>J31-G31</f>
        <v/>
      </c>
    </row>
    <row r="32">
      <c r="B32" s="16" t="n">
        <v>7</v>
      </c>
      <c r="C32" s="16" t="n">
        <v>1</v>
      </c>
      <c r="D32" s="17" t="inlineStr">
        <is>
          <t>Int 7 combo 1</t>
        </is>
      </c>
      <c r="E32" s="18" t="n">
        <v>0</v>
      </c>
      <c r="F32" s="18" t="n">
        <v>500000</v>
      </c>
      <c r="G32" s="19">
        <f>E32+F32</f>
        <v/>
      </c>
      <c r="H32" s="18" t="n">
        <v>0</v>
      </c>
      <c r="I32" s="18" t="n">
        <v>0</v>
      </c>
      <c r="J32" s="19">
        <f>H32+I32</f>
        <v/>
      </c>
      <c r="K32" s="19">
        <f>J32-G32</f>
        <v/>
      </c>
    </row>
    <row r="33">
      <c r="B33" s="12" t="n">
        <v>7</v>
      </c>
      <c r="C33" s="12" t="n">
        <v>2</v>
      </c>
      <c r="D33" s="13" t="inlineStr">
        <is>
          <t>Int 7 combo 2</t>
        </is>
      </c>
      <c r="E33" s="14" t="n">
        <v>0</v>
      </c>
      <c r="F33" s="14" t="n">
        <v>600000</v>
      </c>
      <c r="G33" s="15">
        <f>E33+F33</f>
        <v/>
      </c>
      <c r="H33" s="14" t="n">
        <v>-815311.5336924009</v>
      </c>
      <c r="I33" s="14" t="n">
        <v>0</v>
      </c>
      <c r="J33" s="15">
        <f>H33+I33</f>
        <v/>
      </c>
      <c r="K33" s="15">
        <f>J33-G33</f>
        <v/>
      </c>
    </row>
    <row r="34">
      <c r="B34" s="16" t="n">
        <v>7</v>
      </c>
      <c r="C34" s="16" t="n">
        <v>3</v>
      </c>
      <c r="D34" s="17" t="inlineStr">
        <is>
          <t>Int 7 combo 3</t>
        </is>
      </c>
      <c r="E34" s="18" t="n">
        <v>0</v>
      </c>
      <c r="F34" s="18" t="n">
        <v>1100000</v>
      </c>
      <c r="G34" s="19">
        <f>E34+F34</f>
        <v/>
      </c>
      <c r="H34" s="18" t="n">
        <v>1356452.388359942</v>
      </c>
      <c r="I34" s="18" t="n">
        <v>0</v>
      </c>
      <c r="J34" s="19">
        <f>H34+I34</f>
        <v/>
      </c>
      <c r="K34" s="19">
        <f>J34-G34</f>
        <v/>
      </c>
    </row>
    <row r="35">
      <c r="B35" s="12" t="n">
        <v>8</v>
      </c>
      <c r="C35" s="12" t="n">
        <v>0</v>
      </c>
      <c r="D35" s="13" t="inlineStr">
        <is>
          <t>Int 8 combo 0</t>
        </is>
      </c>
      <c r="E35" s="14" t="n">
        <v>0</v>
      </c>
      <c r="F35" s="14" t="n">
        <v>0</v>
      </c>
      <c r="G35" s="15">
        <f>E35+F35</f>
        <v/>
      </c>
      <c r="H35" s="14" t="n">
        <v>0</v>
      </c>
      <c r="I35" s="14" t="n">
        <v>0</v>
      </c>
      <c r="J35" s="15">
        <f>H35+I35</f>
        <v/>
      </c>
      <c r="K35" s="15">
        <f>J35-G35</f>
        <v/>
      </c>
    </row>
    <row r="36">
      <c r="B36" s="16" t="n">
        <v>8</v>
      </c>
      <c r="C36" s="16" t="n">
        <v>1</v>
      </c>
      <c r="D36" s="17" t="inlineStr">
        <is>
          <t>Int 8 combo 1</t>
        </is>
      </c>
      <c r="E36" s="18" t="n">
        <v>0</v>
      </c>
      <c r="F36" s="18" t="n">
        <v>0</v>
      </c>
      <c r="G36" s="19">
        <f>E36+F36</f>
        <v/>
      </c>
      <c r="H36" s="18" t="n">
        <v>-13914966.68392057</v>
      </c>
      <c r="I36" s="18" t="n">
        <v>0</v>
      </c>
      <c r="J36" s="19">
        <f>H36+I36</f>
        <v/>
      </c>
      <c r="K36" s="19">
        <f>J36-G36</f>
        <v/>
      </c>
    </row>
    <row r="37">
      <c r="B37" s="12" t="n">
        <v>9</v>
      </c>
      <c r="C37" s="12" t="n">
        <v>0</v>
      </c>
      <c r="D37" s="13" t="inlineStr">
        <is>
          <t>Int 9 combo 0</t>
        </is>
      </c>
      <c r="E37" s="14" t="n">
        <v>0</v>
      </c>
      <c r="F37" s="14" t="n">
        <v>0</v>
      </c>
      <c r="G37" s="15">
        <f>E37+F37</f>
        <v/>
      </c>
      <c r="H37" s="14" t="n">
        <v>0</v>
      </c>
      <c r="I37" s="14" t="n">
        <v>0</v>
      </c>
      <c r="J37" s="15">
        <f>H37+I37</f>
        <v/>
      </c>
      <c r="K37" s="15">
        <f>J37-G37</f>
        <v/>
      </c>
    </row>
    <row r="38">
      <c r="B38" s="16" t="n">
        <v>9</v>
      </c>
      <c r="C38" s="16" t="n">
        <v>1</v>
      </c>
      <c r="D38" s="17" t="inlineStr">
        <is>
          <t>Int 9 combo 1</t>
        </is>
      </c>
      <c r="E38" s="18" t="n">
        <v>0</v>
      </c>
      <c r="F38" s="18" t="n">
        <v>600000</v>
      </c>
      <c r="G38" s="19">
        <f>E38+F38</f>
        <v/>
      </c>
      <c r="H38" s="18" t="n">
        <v>1336809.418291496</v>
      </c>
      <c r="I38" s="18" t="n">
        <v>0</v>
      </c>
      <c r="J38" s="19">
        <f>H38+I38</f>
        <v/>
      </c>
      <c r="K38" s="19">
        <f>J38-G38</f>
        <v/>
      </c>
    </row>
    <row r="39">
      <c r="B39" s="12" t="n">
        <v>9</v>
      </c>
      <c r="C39" s="12" t="n">
        <v>2</v>
      </c>
      <c r="D39" s="13" t="inlineStr">
        <is>
          <t>Int 9 combo 2</t>
        </is>
      </c>
      <c r="E39" s="14" t="n">
        <v>0</v>
      </c>
      <c r="F39" s="14" t="n">
        <v>0</v>
      </c>
      <c r="G39" s="15">
        <f>E39+F39</f>
        <v/>
      </c>
      <c r="H39" s="14" t="n">
        <v>-14028218.7106441</v>
      </c>
      <c r="I39" s="14" t="n">
        <v>0</v>
      </c>
      <c r="J39" s="15">
        <f>H39+I39</f>
        <v/>
      </c>
      <c r="K39" s="15">
        <f>J39-G39</f>
        <v/>
      </c>
    </row>
    <row r="40">
      <c r="B40" s="16" t="n">
        <v>9</v>
      </c>
      <c r="C40" s="16" t="n">
        <v>3</v>
      </c>
      <c r="D40" s="17" t="inlineStr">
        <is>
          <t>Int 9 combo 3</t>
        </is>
      </c>
      <c r="E40" s="18" t="n">
        <v>0</v>
      </c>
      <c r="F40" s="18" t="n">
        <v>600000</v>
      </c>
      <c r="G40" s="19">
        <f>E40+F40</f>
        <v/>
      </c>
      <c r="H40" s="18" t="n">
        <v>-1900702.117840048</v>
      </c>
      <c r="I40" s="18" t="n">
        <v>0</v>
      </c>
      <c r="J40" s="19">
        <f>H40+I40</f>
        <v/>
      </c>
      <c r="K40" s="19">
        <f>J40-G40</f>
        <v/>
      </c>
    </row>
    <row r="41">
      <c r="B41" s="12" t="n">
        <v>10</v>
      </c>
      <c r="C41" s="12" t="n">
        <v>0</v>
      </c>
      <c r="D41" s="13" t="inlineStr">
        <is>
          <t>Int 10 combo 0</t>
        </is>
      </c>
      <c r="E41" s="14" t="n">
        <v>0</v>
      </c>
      <c r="F41" s="14" t="n">
        <v>0</v>
      </c>
      <c r="G41" s="15">
        <f>E41+F41</f>
        <v/>
      </c>
      <c r="H41" s="14" t="n">
        <v>0</v>
      </c>
      <c r="I41" s="14" t="n">
        <v>0</v>
      </c>
      <c r="J41" s="15">
        <f>H41+I41</f>
        <v/>
      </c>
      <c r="K41" s="15">
        <f>J41-G41</f>
        <v/>
      </c>
    </row>
    <row r="42">
      <c r="B42" s="16" t="n">
        <v>10</v>
      </c>
      <c r="C42" s="16" t="n">
        <v>1</v>
      </c>
      <c r="D42" s="17" t="inlineStr">
        <is>
          <t>Int 10 combo 1</t>
        </is>
      </c>
      <c r="E42" s="18" t="n">
        <v>0</v>
      </c>
      <c r="F42" s="18" t="n">
        <v>600000</v>
      </c>
      <c r="G42" s="19">
        <f>E42+F42</f>
        <v/>
      </c>
      <c r="H42" s="18" t="n">
        <v>110462.8215652443</v>
      </c>
      <c r="I42" s="18" t="n">
        <v>0</v>
      </c>
      <c r="J42" s="19">
        <f>H42+I42</f>
        <v/>
      </c>
      <c r="K42" s="19">
        <f>J42-G42</f>
        <v/>
      </c>
    </row>
    <row r="43">
      <c r="B43" s="12" t="n">
        <v>11</v>
      </c>
      <c r="C43" s="12" t="n">
        <v>0</v>
      </c>
      <c r="D43" s="13" t="inlineStr">
        <is>
          <t>Int 11 combo 0</t>
        </is>
      </c>
      <c r="E43" s="14" t="n">
        <v>0</v>
      </c>
      <c r="F43" s="14" t="n">
        <v>0</v>
      </c>
      <c r="G43" s="15">
        <f>E43+F43</f>
        <v/>
      </c>
      <c r="H43" s="14" t="n">
        <v>0</v>
      </c>
      <c r="I43" s="14" t="n">
        <v>0</v>
      </c>
      <c r="J43" s="15">
        <f>H43+I43</f>
        <v/>
      </c>
      <c r="K43" s="15">
        <f>J43-G43</f>
        <v/>
      </c>
    </row>
    <row r="44">
      <c r="B44" s="16" t="n">
        <v>11</v>
      </c>
      <c r="C44" s="16" t="n">
        <v>1</v>
      </c>
      <c r="D44" s="17" t="inlineStr">
        <is>
          <t>Int 11 combo 1</t>
        </is>
      </c>
      <c r="E44" s="18" t="n">
        <v>0</v>
      </c>
      <c r="F44" s="18" t="n">
        <v>0</v>
      </c>
      <c r="G44" s="19">
        <f>E44+F44</f>
        <v/>
      </c>
      <c r="H44" s="18" t="n">
        <v>-411858.0082548708</v>
      </c>
      <c r="I44" s="18" t="n">
        <v>0</v>
      </c>
      <c r="J44" s="19">
        <f>H44+I44</f>
        <v/>
      </c>
      <c r="K44" s="19">
        <f>J44-G44</f>
        <v/>
      </c>
    </row>
    <row r="45">
      <c r="B45" s="12" t="n">
        <v>12</v>
      </c>
      <c r="C45" s="12" t="n">
        <v>0</v>
      </c>
      <c r="D45" s="13" t="inlineStr">
        <is>
          <t>Int 12 combo 0</t>
        </is>
      </c>
      <c r="E45" s="14" t="n">
        <v>0</v>
      </c>
      <c r="F45" s="14" t="n">
        <v>0</v>
      </c>
      <c r="G45" s="15">
        <f>E45+F45</f>
        <v/>
      </c>
      <c r="H45" s="14" t="n">
        <v>0</v>
      </c>
      <c r="I45" s="14" t="n">
        <v>0</v>
      </c>
      <c r="J45" s="15">
        <f>H45+I45</f>
        <v/>
      </c>
      <c r="K45" s="15">
        <f>J45-G45</f>
        <v/>
      </c>
    </row>
    <row r="46">
      <c r="B46" s="16" t="n">
        <v>12</v>
      </c>
      <c r="C46" s="16" t="n">
        <v>1</v>
      </c>
      <c r="D46" s="17" t="inlineStr">
        <is>
          <t>Int 12 combo 1</t>
        </is>
      </c>
      <c r="E46" s="18" t="n">
        <v>0</v>
      </c>
      <c r="F46" s="18" t="n">
        <v>100000</v>
      </c>
      <c r="G46" s="19">
        <f>E46+F46</f>
        <v/>
      </c>
      <c r="H46" s="18" t="n">
        <v>1146307.598710638</v>
      </c>
      <c r="I46" s="18" t="n">
        <v>0</v>
      </c>
      <c r="J46" s="19">
        <f>H46+I46</f>
        <v/>
      </c>
      <c r="K46" s="19">
        <f>J46-G46</f>
        <v/>
      </c>
    </row>
    <row r="47">
      <c r="B47" s="12" t="n">
        <v>12</v>
      </c>
      <c r="C47" s="12" t="n">
        <v>2</v>
      </c>
      <c r="D47" s="13" t="inlineStr">
        <is>
          <t>Int 12 combo 2</t>
        </is>
      </c>
      <c r="E47" s="14" t="n">
        <v>0</v>
      </c>
      <c r="F47" s="14" t="n">
        <v>600000</v>
      </c>
      <c r="G47" s="15">
        <f>E47+F47</f>
        <v/>
      </c>
      <c r="H47" s="14" t="n">
        <v>128853.6487433696</v>
      </c>
      <c r="I47" s="14" t="n">
        <v>0</v>
      </c>
      <c r="J47" s="15">
        <f>H47+I47</f>
        <v/>
      </c>
      <c r="K47" s="15">
        <f>J47-G47</f>
        <v/>
      </c>
    </row>
    <row r="48">
      <c r="B48" s="16" t="n">
        <v>12</v>
      </c>
      <c r="C48" s="16" t="n">
        <v>3</v>
      </c>
      <c r="D48" s="17" t="inlineStr">
        <is>
          <t>Int 12 combo 3</t>
        </is>
      </c>
      <c r="E48" s="18" t="n">
        <v>0</v>
      </c>
      <c r="F48" s="18" t="n">
        <v>700000</v>
      </c>
      <c r="G48" s="19">
        <f>E48+F48</f>
        <v/>
      </c>
      <c r="H48" s="18" t="n">
        <v>1232639.543368696</v>
      </c>
      <c r="I48" s="18" t="n">
        <v>0</v>
      </c>
      <c r="J48" s="19">
        <f>H48+I48</f>
        <v/>
      </c>
      <c r="K48" s="19">
        <f>J48-G48</f>
        <v/>
      </c>
    </row>
    <row r="49">
      <c r="B49" s="12" t="n">
        <v>13</v>
      </c>
      <c r="C49" s="12" t="n">
        <v>0</v>
      </c>
      <c r="D49" s="13" t="inlineStr">
        <is>
          <t>Int 13 combo 0</t>
        </is>
      </c>
      <c r="E49" s="14" t="n">
        <v>0</v>
      </c>
      <c r="F49" s="14" t="n">
        <v>0</v>
      </c>
      <c r="G49" s="15">
        <f>E49+F49</f>
        <v/>
      </c>
      <c r="H49" s="14" t="n">
        <v>-1466836.512950862</v>
      </c>
      <c r="I49" s="14" t="n">
        <v>0</v>
      </c>
      <c r="J49" s="15">
        <f>H49+I49</f>
        <v/>
      </c>
      <c r="K49" s="15">
        <f>J49-G49</f>
        <v/>
      </c>
    </row>
    <row r="50">
      <c r="B50" s="16" t="n">
        <v>13</v>
      </c>
      <c r="C50" s="16" t="n">
        <v>1</v>
      </c>
      <c r="D50" s="17" t="inlineStr">
        <is>
          <t>Int 13 combo 1</t>
        </is>
      </c>
      <c r="E50" s="18" t="n">
        <v>0</v>
      </c>
      <c r="F50" s="18" t="n">
        <v>600000</v>
      </c>
      <c r="G50" s="19">
        <f>E50+F50</f>
        <v/>
      </c>
      <c r="H50" s="18" t="n">
        <v>0</v>
      </c>
      <c r="I50" s="18" t="n">
        <v>0</v>
      </c>
      <c r="J50" s="19">
        <f>H50+I50</f>
        <v/>
      </c>
      <c r="K50" s="19">
        <f>J50-G50</f>
        <v/>
      </c>
    </row>
    <row r="51">
      <c r="B51" s="12" t="n">
        <v>13</v>
      </c>
      <c r="C51" s="12" t="n">
        <v>2</v>
      </c>
      <c r="D51" s="13" t="inlineStr">
        <is>
          <t>Int 13 combo 2</t>
        </is>
      </c>
      <c r="E51" s="14" t="n">
        <v>0</v>
      </c>
      <c r="F51" s="14" t="n">
        <v>600000</v>
      </c>
      <c r="G51" s="15">
        <f>E51+F51</f>
        <v/>
      </c>
      <c r="H51" s="14" t="n">
        <v>169733.9393557422</v>
      </c>
      <c r="I51" s="14" t="n">
        <v>0</v>
      </c>
      <c r="J51" s="15">
        <f>H51+I51</f>
        <v/>
      </c>
      <c r="K51" s="15">
        <f>J51-G51</f>
        <v/>
      </c>
    </row>
    <row r="52">
      <c r="B52" s="16" t="n">
        <v>13</v>
      </c>
      <c r="C52" s="16" t="n">
        <v>3</v>
      </c>
      <c r="D52" s="17" t="inlineStr">
        <is>
          <t>Int 13 combo 3</t>
        </is>
      </c>
      <c r="E52" s="18" t="n">
        <v>0</v>
      </c>
      <c r="F52" s="18" t="n">
        <v>1200000</v>
      </c>
      <c r="G52" s="19">
        <f>E52+F52</f>
        <v/>
      </c>
      <c r="H52" s="18" t="n">
        <v>310219.7057160093</v>
      </c>
      <c r="I52" s="18" t="n">
        <v>0</v>
      </c>
      <c r="J52" s="19">
        <f>H52+I52</f>
        <v/>
      </c>
      <c r="K52" s="19">
        <f>J52-G52</f>
        <v/>
      </c>
    </row>
    <row r="53">
      <c r="B53" s="12" t="n">
        <v>13</v>
      </c>
      <c r="C53" s="12" t="n">
        <v>4</v>
      </c>
      <c r="D53" s="13" t="inlineStr">
        <is>
          <t>Int 13 combo 4</t>
        </is>
      </c>
      <c r="E53" s="14" t="n">
        <v>0</v>
      </c>
      <c r="F53" s="14" t="n">
        <v>1200000</v>
      </c>
      <c r="G53" s="15">
        <f>E53+F53</f>
        <v/>
      </c>
      <c r="H53" s="14" t="n">
        <v>1152514.403032819</v>
      </c>
      <c r="I53" s="14" t="n">
        <v>0</v>
      </c>
      <c r="J53" s="15">
        <f>H53+I53</f>
        <v/>
      </c>
      <c r="K53" s="15">
        <f>J53-G53</f>
        <v/>
      </c>
    </row>
  </sheetData>
  <mergeCells count="1">
    <mergeCell ref="B3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71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6" customWidth="1" min="14" max="14"/>
    <col width="6" customWidth="1" min="15" max="15"/>
    <col width="48" customWidth="1" min="16" max="16"/>
    <col width="14" customWidth="1" min="17" max="17"/>
    <col width="14" customWidth="1" min="18" max="18"/>
    <col width="14" customWidth="1" min="19" max="19"/>
    <col width="12" customWidth="1" min="20" max="20"/>
  </cols>
  <sheetData>
    <row r="2" ht="22" customHeight="1">
      <c r="B2" s="1" t="inlineStr">
        <is>
          <t>Optimization (MILP)</t>
        </is>
      </c>
    </row>
    <row r="5" ht="24" customHeight="1">
      <c r="B5" s="20" t="inlineStr">
        <is>
          <t>Mathematical Formulation</t>
        </is>
      </c>
      <c r="N5" s="11" t="inlineStr">
        <is>
          <t>Intersection</t>
        </is>
      </c>
      <c r="O5" s="11" t="inlineStr">
        <is>
          <t>Alt</t>
        </is>
      </c>
      <c r="P5" s="11" t="inlineStr">
        <is>
          <t>Description</t>
        </is>
      </c>
      <c r="Q5" s="11" t="inlineStr">
        <is>
          <t>Cost</t>
        </is>
      </c>
      <c r="R5" s="11" t="inlineStr">
        <is>
          <t>Total benefit</t>
        </is>
      </c>
      <c r="S5" s="11" t="inlineStr">
        <is>
          <t>Net benefit</t>
        </is>
      </c>
      <c r="T5" s="11" t="inlineStr">
        <is>
          <t>Fund? (0/1)</t>
        </is>
      </c>
    </row>
    <row r="6" ht="22" customHeight="1">
      <c r="B6" s="21" t="inlineStr">
        <is>
          <t>Decision variables</t>
        </is>
      </c>
      <c r="N6" s="12" t="n">
        <v>1</v>
      </c>
      <c r="O6" s="12" t="n">
        <v>0</v>
      </c>
      <c r="P6" s="13" t="inlineStr">
        <is>
          <t>Int 1 combo 0</t>
        </is>
      </c>
      <c r="Q6" s="22">
        <f>Inputs!G11</f>
        <v/>
      </c>
      <c r="R6" s="22">
        <f>Inputs!J11</f>
        <v/>
      </c>
      <c r="S6" s="22">
        <f>Inputs!K11</f>
        <v/>
      </c>
      <c r="T6" s="23" t="n">
        <v>0</v>
      </c>
    </row>
    <row r="7" ht="18" customHeight="1">
      <c r="B7" s="24" t="inlineStr">
        <is>
          <t>x_ij ∈ {0, 1} for each alternative j at site i (range T6:T48, yellow cells)</t>
        </is>
      </c>
      <c r="N7" s="16" t="n">
        <v>1</v>
      </c>
      <c r="O7" s="16" t="n">
        <v>1</v>
      </c>
      <c r="P7" s="17" t="inlineStr">
        <is>
          <t>Int 1 combo 1</t>
        </is>
      </c>
      <c r="Q7" s="25">
        <f>Inputs!G12</f>
        <v/>
      </c>
      <c r="R7" s="25">
        <f>Inputs!J12</f>
        <v/>
      </c>
      <c r="S7" s="25">
        <f>Inputs!K12</f>
        <v/>
      </c>
      <c r="T7" s="23" t="n">
        <v>0</v>
      </c>
    </row>
    <row r="8" ht="18" customHeight="1">
      <c r="N8" s="12" t="n">
        <v>1</v>
      </c>
      <c r="O8" s="12" t="n">
        <v>2</v>
      </c>
      <c r="P8" s="13" t="inlineStr">
        <is>
          <t>Int 1 combo 2</t>
        </is>
      </c>
      <c r="Q8" s="22">
        <f>Inputs!G13</f>
        <v/>
      </c>
      <c r="R8" s="22">
        <f>Inputs!J13</f>
        <v/>
      </c>
      <c r="S8" s="22">
        <f>Inputs!K13</f>
        <v/>
      </c>
      <c r="T8" s="23" t="n">
        <v>0</v>
      </c>
    </row>
    <row r="9" ht="22" customHeight="1">
      <c r="B9" s="21" t="inlineStr">
        <is>
          <t>Objective</t>
        </is>
      </c>
      <c r="N9" s="16" t="n">
        <v>1</v>
      </c>
      <c r="O9" s="16" t="n">
        <v>3</v>
      </c>
      <c r="P9" s="17" t="inlineStr">
        <is>
          <t>Int 1 combo 3</t>
        </is>
      </c>
      <c r="Q9" s="25">
        <f>Inputs!G14</f>
        <v/>
      </c>
      <c r="R9" s="25">
        <f>Inputs!J14</f>
        <v/>
      </c>
      <c r="S9" s="25">
        <f>Inputs!K14</f>
        <v/>
      </c>
      <c r="T9" s="23" t="n">
        <v>0</v>
      </c>
    </row>
    <row r="10" ht="18" customHeight="1">
      <c r="B10" s="26" t="inlineStr">
        <is>
          <t>Maximize:  Z = Σ_i Σ_j  NetBenefit_ij × x_ij</t>
        </is>
      </c>
      <c r="N10" s="12" t="n">
        <v>2</v>
      </c>
      <c r="O10" s="12" t="n">
        <v>0</v>
      </c>
      <c r="P10" s="13" t="inlineStr">
        <is>
          <t>Int 2 combo 0</t>
        </is>
      </c>
      <c r="Q10" s="22">
        <f>Inputs!G15</f>
        <v/>
      </c>
      <c r="R10" s="22">
        <f>Inputs!J15</f>
        <v/>
      </c>
      <c r="S10" s="22">
        <f>Inputs!K15</f>
        <v/>
      </c>
      <c r="T10" s="23" t="n">
        <v>0</v>
      </c>
    </row>
    <row r="11" ht="18" customHeight="1">
      <c r="B11" s="24" t="inlineStr">
        <is>
          <t>(computed at cell Q54)</t>
        </is>
      </c>
      <c r="N11" s="16" t="n">
        <v>2</v>
      </c>
      <c r="O11" s="16" t="n">
        <v>1</v>
      </c>
      <c r="P11" s="17" t="inlineStr">
        <is>
          <t>Int 2 combo 1</t>
        </is>
      </c>
      <c r="Q11" s="25">
        <f>Inputs!G16</f>
        <v/>
      </c>
      <c r="R11" s="25">
        <f>Inputs!J16</f>
        <v/>
      </c>
      <c r="S11" s="25">
        <f>Inputs!K16</f>
        <v/>
      </c>
      <c r="T11" s="23" t="n">
        <v>0</v>
      </c>
    </row>
    <row r="12" ht="18" customHeight="1">
      <c r="N12" s="12" t="n">
        <v>2</v>
      </c>
      <c r="O12" s="12" t="n">
        <v>2</v>
      </c>
      <c r="P12" s="13" t="inlineStr">
        <is>
          <t>Int 2 combo 2</t>
        </is>
      </c>
      <c r="Q12" s="22">
        <f>Inputs!G17</f>
        <v/>
      </c>
      <c r="R12" s="22">
        <f>Inputs!J17</f>
        <v/>
      </c>
      <c r="S12" s="22">
        <f>Inputs!K17</f>
        <v/>
      </c>
      <c r="T12" s="23" t="n">
        <v>0</v>
      </c>
    </row>
    <row r="13" ht="22" customHeight="1">
      <c r="B13" s="21" t="inlineStr">
        <is>
          <t>Subject to</t>
        </is>
      </c>
      <c r="N13" s="16" t="n">
        <v>2</v>
      </c>
      <c r="O13" s="16" t="n">
        <v>3</v>
      </c>
      <c r="P13" s="17" t="inlineStr">
        <is>
          <t>Int 2 combo 3</t>
        </is>
      </c>
      <c r="Q13" s="25">
        <f>Inputs!G18</f>
        <v/>
      </c>
      <c r="R13" s="25">
        <f>Inputs!J18</f>
        <v/>
      </c>
      <c r="S13" s="25">
        <f>Inputs!K18</f>
        <v/>
      </c>
      <c r="T13" s="23" t="n">
        <v>0</v>
      </c>
    </row>
    <row r="14" ht="18" customHeight="1">
      <c r="B14" s="26" t="inlineStr">
        <is>
          <t>Budget:    Σ_i Σ_j  Cost_ij × x_ij  ≤  Budget</t>
        </is>
      </c>
      <c r="N14" s="12" t="n">
        <v>3</v>
      </c>
      <c r="O14" s="12" t="n">
        <v>0</v>
      </c>
      <c r="P14" s="13" t="inlineStr">
        <is>
          <t>Int 3 combo 0</t>
        </is>
      </c>
      <c r="Q14" s="22">
        <f>Inputs!G19</f>
        <v/>
      </c>
      <c r="R14" s="22">
        <f>Inputs!J19</f>
        <v/>
      </c>
      <c r="S14" s="22">
        <f>Inputs!K19</f>
        <v/>
      </c>
      <c r="T14" s="23" t="n">
        <v>0</v>
      </c>
    </row>
    <row r="15" ht="18" customHeight="1">
      <c r="B15" s="24" t="inlineStr">
        <is>
          <t>(computed at Q52, ≤ $12,000,000)</t>
        </is>
      </c>
      <c r="N15" s="16" t="n">
        <v>3</v>
      </c>
      <c r="O15" s="16" t="n">
        <v>1</v>
      </c>
      <c r="P15" s="17" t="inlineStr">
        <is>
          <t>Int 3 combo 1</t>
        </is>
      </c>
      <c r="Q15" s="25">
        <f>Inputs!G20</f>
        <v/>
      </c>
      <c r="R15" s="25">
        <f>Inputs!J20</f>
        <v/>
      </c>
      <c r="S15" s="25">
        <f>Inputs!K20</f>
        <v/>
      </c>
      <c r="T15" s="23" t="n">
        <v>0</v>
      </c>
    </row>
    <row r="16" ht="18" customHeight="1">
      <c r="B16" s="26" t="inlineStr">
        <is>
          <t>Mutex:     Σ_j  x_ij  ≤  1   for each site i</t>
        </is>
      </c>
      <c r="N16" s="12" t="n">
        <v>4</v>
      </c>
      <c r="O16" s="12" t="n">
        <v>0</v>
      </c>
      <c r="P16" s="13" t="inlineStr">
        <is>
          <t>Int 4 combo 0</t>
        </is>
      </c>
      <c r="Q16" s="22">
        <f>Inputs!G21</f>
        <v/>
      </c>
      <c r="R16" s="22">
        <f>Inputs!J21</f>
        <v/>
      </c>
      <c r="S16" s="22">
        <f>Inputs!K21</f>
        <v/>
      </c>
      <c r="T16" s="23" t="n">
        <v>0</v>
      </c>
    </row>
    <row r="17" ht="18" customHeight="1">
      <c r="B17" s="24" t="inlineStr">
        <is>
          <t>(constraint cells, O59:O71)</t>
        </is>
      </c>
      <c r="N17" s="16" t="n">
        <v>4</v>
      </c>
      <c r="O17" s="16" t="n">
        <v>1</v>
      </c>
      <c r="P17" s="17" t="inlineStr">
        <is>
          <t>Int 4 combo 1</t>
        </is>
      </c>
      <c r="Q17" s="25">
        <f>Inputs!G22</f>
        <v/>
      </c>
      <c r="R17" s="25">
        <f>Inputs!J22</f>
        <v/>
      </c>
      <c r="S17" s="25">
        <f>Inputs!K22</f>
        <v/>
      </c>
      <c r="T17" s="23" t="n">
        <v>0</v>
      </c>
    </row>
    <row r="18" ht="18" customHeight="1">
      <c r="B18" s="26" t="inlineStr">
        <is>
          <t>Binary:    x_ij ∈ {0, 1}</t>
        </is>
      </c>
      <c r="N18" s="12" t="n">
        <v>5</v>
      </c>
      <c r="O18" s="12" t="n">
        <v>0</v>
      </c>
      <c r="P18" s="13" t="inlineStr">
        <is>
          <t>Int 5 combo 0</t>
        </is>
      </c>
      <c r="Q18" s="22">
        <f>Inputs!G23</f>
        <v/>
      </c>
      <c r="R18" s="22">
        <f>Inputs!J23</f>
        <v/>
      </c>
      <c r="S18" s="22">
        <f>Inputs!K23</f>
        <v/>
      </c>
      <c r="T18" s="23" t="n">
        <v>0</v>
      </c>
    </row>
    <row r="19" ht="18" customHeight="1">
      <c r="N19" s="16" t="n">
        <v>5</v>
      </c>
      <c r="O19" s="16" t="n">
        <v>1</v>
      </c>
      <c r="P19" s="17" t="inlineStr">
        <is>
          <t>Int 5 combo 1</t>
        </is>
      </c>
      <c r="Q19" s="25">
        <f>Inputs!G24</f>
        <v/>
      </c>
      <c r="R19" s="25">
        <f>Inputs!J24</f>
        <v/>
      </c>
      <c r="S19" s="25">
        <f>Inputs!K24</f>
        <v/>
      </c>
      <c r="T19" s="23" t="n">
        <v>0</v>
      </c>
    </row>
    <row r="20" ht="24" customHeight="1">
      <c r="B20" s="20" t="inlineStr">
        <is>
          <t>Solver Setup</t>
        </is>
      </c>
      <c r="N20" s="12" t="n">
        <v>5</v>
      </c>
      <c r="O20" s="12" t="n">
        <v>2</v>
      </c>
      <c r="P20" s="13" t="inlineStr">
        <is>
          <t>Int 5 combo 2</t>
        </is>
      </c>
      <c r="Q20" s="22">
        <f>Inputs!G25</f>
        <v/>
      </c>
      <c r="R20" s="22">
        <f>Inputs!J25</f>
        <v/>
      </c>
      <c r="S20" s="22">
        <f>Inputs!K25</f>
        <v/>
      </c>
      <c r="T20" s="23" t="n">
        <v>0</v>
      </c>
    </row>
    <row r="21" ht="22" customHeight="1">
      <c r="B21" s="21" t="inlineStr">
        <is>
          <t>Top of Solver dialog</t>
        </is>
      </c>
      <c r="N21" s="16" t="n">
        <v>5</v>
      </c>
      <c r="O21" s="16" t="n">
        <v>3</v>
      </c>
      <c r="P21" s="17" t="inlineStr">
        <is>
          <t>Int 5 combo 3</t>
        </is>
      </c>
      <c r="Q21" s="25">
        <f>Inputs!G26</f>
        <v/>
      </c>
      <c r="R21" s="25">
        <f>Inputs!J26</f>
        <v/>
      </c>
      <c r="S21" s="25">
        <f>Inputs!K26</f>
        <v/>
      </c>
      <c r="T21" s="23" t="n">
        <v>0</v>
      </c>
    </row>
    <row r="22" ht="22" customHeight="1">
      <c r="B22" s="11" t="inlineStr">
        <is>
          <t>Field</t>
        </is>
      </c>
      <c r="C22" s="11" t="inlineStr">
        <is>
          <t>Value</t>
        </is>
      </c>
      <c r="N22" s="12" t="n">
        <v>6</v>
      </c>
      <c r="O22" s="12" t="n">
        <v>0</v>
      </c>
      <c r="P22" s="13" t="inlineStr">
        <is>
          <t>Int 6 combo 0</t>
        </is>
      </c>
      <c r="Q22" s="22">
        <f>Inputs!G27</f>
        <v/>
      </c>
      <c r="R22" s="22">
        <f>Inputs!J27</f>
        <v/>
      </c>
      <c r="S22" s="22">
        <f>Inputs!K27</f>
        <v/>
      </c>
      <c r="T22" s="23" t="n">
        <v>0</v>
      </c>
    </row>
    <row r="23" ht="18" customHeight="1">
      <c r="B23" s="13" t="inlineStr">
        <is>
          <t>Set Objective</t>
        </is>
      </c>
      <c r="C23" s="27" t="inlineStr">
        <is>
          <t>$Q$54</t>
        </is>
      </c>
      <c r="N23" s="16" t="n">
        <v>6</v>
      </c>
      <c r="O23" s="16" t="n">
        <v>1</v>
      </c>
      <c r="P23" s="17" t="inlineStr">
        <is>
          <t>Int 6 combo 1</t>
        </is>
      </c>
      <c r="Q23" s="25">
        <f>Inputs!G28</f>
        <v/>
      </c>
      <c r="R23" s="25">
        <f>Inputs!J28</f>
        <v/>
      </c>
      <c r="S23" s="25">
        <f>Inputs!K28</f>
        <v/>
      </c>
      <c r="T23" s="23" t="n">
        <v>0</v>
      </c>
    </row>
    <row r="24" ht="18" customHeight="1">
      <c r="B24" s="13" t="inlineStr">
        <is>
          <t>To</t>
        </is>
      </c>
      <c r="C24" s="27" t="inlineStr">
        <is>
          <t>Max  (radio button)</t>
        </is>
      </c>
      <c r="N24" s="12" t="n">
        <v>6</v>
      </c>
      <c r="O24" s="12" t="n">
        <v>2</v>
      </c>
      <c r="P24" s="13" t="inlineStr">
        <is>
          <t>Int 6 combo 2</t>
        </is>
      </c>
      <c r="Q24" s="22">
        <f>Inputs!G29</f>
        <v/>
      </c>
      <c r="R24" s="22">
        <f>Inputs!J29</f>
        <v/>
      </c>
      <c r="S24" s="22">
        <f>Inputs!K29</f>
        <v/>
      </c>
      <c r="T24" s="23" t="n">
        <v>0</v>
      </c>
    </row>
    <row r="25" ht="18" customHeight="1">
      <c r="B25" s="13" t="inlineStr">
        <is>
          <t>By Changing Cells</t>
        </is>
      </c>
      <c r="C25" s="27" t="inlineStr">
        <is>
          <t>$T$6:$T$48</t>
        </is>
      </c>
      <c r="N25" s="16" t="n">
        <v>6</v>
      </c>
      <c r="O25" s="16" t="n">
        <v>3</v>
      </c>
      <c r="P25" s="17" t="inlineStr">
        <is>
          <t>Int 6 combo 3</t>
        </is>
      </c>
      <c r="Q25" s="25">
        <f>Inputs!G30</f>
        <v/>
      </c>
      <c r="R25" s="25">
        <f>Inputs!J30</f>
        <v/>
      </c>
      <c r="S25" s="25">
        <f>Inputs!K30</f>
        <v/>
      </c>
      <c r="T25" s="23" t="n">
        <v>0</v>
      </c>
    </row>
    <row r="26" ht="18" customHeight="1">
      <c r="B26" s="13" t="inlineStr">
        <is>
          <t>Solving Method</t>
        </is>
      </c>
      <c r="C26" s="27" t="inlineStr">
        <is>
          <t>Simplex LP</t>
        </is>
      </c>
      <c r="N26" s="12" t="n">
        <v>7</v>
      </c>
      <c r="O26" s="12" t="n">
        <v>0</v>
      </c>
      <c r="P26" s="13" t="inlineStr">
        <is>
          <t>Int 7 combo 0</t>
        </is>
      </c>
      <c r="Q26" s="22">
        <f>Inputs!G31</f>
        <v/>
      </c>
      <c r="R26" s="22">
        <f>Inputs!J31</f>
        <v/>
      </c>
      <c r="S26" s="22">
        <f>Inputs!K31</f>
        <v/>
      </c>
      <c r="T26" s="23" t="n">
        <v>0</v>
      </c>
    </row>
    <row r="27" ht="18" customHeight="1">
      <c r="N27" s="16" t="n">
        <v>7</v>
      </c>
      <c r="O27" s="16" t="n">
        <v>1</v>
      </c>
      <c r="P27" s="17" t="inlineStr">
        <is>
          <t>Int 7 combo 1</t>
        </is>
      </c>
      <c r="Q27" s="25">
        <f>Inputs!G32</f>
        <v/>
      </c>
      <c r="R27" s="25">
        <f>Inputs!J32</f>
        <v/>
      </c>
      <c r="S27" s="25">
        <f>Inputs!K32</f>
        <v/>
      </c>
      <c r="T27" s="23" t="n">
        <v>0</v>
      </c>
    </row>
    <row r="28" ht="18" customHeight="1">
      <c r="N28" s="12" t="n">
        <v>7</v>
      </c>
      <c r="O28" s="12" t="n">
        <v>2</v>
      </c>
      <c r="P28" s="13" t="inlineStr">
        <is>
          <t>Int 7 combo 2</t>
        </is>
      </c>
      <c r="Q28" s="22">
        <f>Inputs!G33</f>
        <v/>
      </c>
      <c r="R28" s="22">
        <f>Inputs!J33</f>
        <v/>
      </c>
      <c r="S28" s="22">
        <f>Inputs!K33</f>
        <v/>
      </c>
      <c r="T28" s="23" t="n">
        <v>0</v>
      </c>
    </row>
    <row r="29" ht="22" customHeight="1">
      <c r="B29" s="21" t="inlineStr">
        <is>
          <t>Constraints (click 'Add' for each row)</t>
        </is>
      </c>
      <c r="N29" s="16" t="n">
        <v>7</v>
      </c>
      <c r="O29" s="16" t="n">
        <v>3</v>
      </c>
      <c r="P29" s="17" t="inlineStr">
        <is>
          <t>Int 7 combo 3</t>
        </is>
      </c>
      <c r="Q29" s="25">
        <f>Inputs!G34</f>
        <v/>
      </c>
      <c r="R29" s="25">
        <f>Inputs!J34</f>
        <v/>
      </c>
      <c r="S29" s="25">
        <f>Inputs!K34</f>
        <v/>
      </c>
      <c r="T29" s="23" t="n">
        <v>0</v>
      </c>
    </row>
    <row r="30" ht="22" customHeight="1">
      <c r="B30" s="11" t="inlineStr">
        <is>
          <t>Cell Reference</t>
        </is>
      </c>
      <c r="C30" s="11" t="inlineStr">
        <is>
          <t>Op</t>
        </is>
      </c>
      <c r="D30" s="11" t="inlineStr">
        <is>
          <t>Constraint</t>
        </is>
      </c>
      <c r="N30" s="12" t="n">
        <v>8</v>
      </c>
      <c r="O30" s="12" t="n">
        <v>0</v>
      </c>
      <c r="P30" s="13" t="inlineStr">
        <is>
          <t>Int 8 combo 0</t>
        </is>
      </c>
      <c r="Q30" s="22">
        <f>Inputs!G35</f>
        <v/>
      </c>
      <c r="R30" s="22">
        <f>Inputs!J35</f>
        <v/>
      </c>
      <c r="S30" s="22">
        <f>Inputs!K35</f>
        <v/>
      </c>
      <c r="T30" s="23" t="n">
        <v>0</v>
      </c>
    </row>
    <row r="31" ht="18" customHeight="1">
      <c r="B31" s="27" t="inlineStr">
        <is>
          <t>$T$6:$T$48</t>
        </is>
      </c>
      <c r="C31" s="28" t="inlineStr">
        <is>
          <t>bin</t>
        </is>
      </c>
      <c r="D31" s="28" t="inlineStr">
        <is>
          <t>—</t>
        </is>
      </c>
      <c r="N31" s="16" t="n">
        <v>8</v>
      </c>
      <c r="O31" s="16" t="n">
        <v>1</v>
      </c>
      <c r="P31" s="17" t="inlineStr">
        <is>
          <t>Int 8 combo 1</t>
        </is>
      </c>
      <c r="Q31" s="25">
        <f>Inputs!G36</f>
        <v/>
      </c>
      <c r="R31" s="25">
        <f>Inputs!J36</f>
        <v/>
      </c>
      <c r="S31" s="25">
        <f>Inputs!K36</f>
        <v/>
      </c>
      <c r="T31" s="23" t="n">
        <v>0</v>
      </c>
    </row>
    <row r="32" ht="18" customHeight="1">
      <c r="B32" s="27" t="inlineStr">
        <is>
          <t>$Q$52</t>
        </is>
      </c>
      <c r="C32" s="28" t="inlineStr">
        <is>
          <t>&lt;=</t>
        </is>
      </c>
      <c r="D32" s="28" t="inlineStr">
        <is>
          <t>12000000</t>
        </is>
      </c>
      <c r="N32" s="12" t="n">
        <v>9</v>
      </c>
      <c r="O32" s="12" t="n">
        <v>0</v>
      </c>
      <c r="P32" s="13" t="inlineStr">
        <is>
          <t>Int 9 combo 0</t>
        </is>
      </c>
      <c r="Q32" s="22">
        <f>Inputs!G37</f>
        <v/>
      </c>
      <c r="R32" s="22">
        <f>Inputs!J37</f>
        <v/>
      </c>
      <c r="S32" s="22">
        <f>Inputs!K37</f>
        <v/>
      </c>
      <c r="T32" s="23" t="n">
        <v>0</v>
      </c>
    </row>
    <row r="33" ht="18" customHeight="1">
      <c r="B33" s="27" t="inlineStr">
        <is>
          <t>$O$59</t>
        </is>
      </c>
      <c r="C33" s="28" t="inlineStr">
        <is>
          <t>&lt;=</t>
        </is>
      </c>
      <c r="D33" s="28" t="inlineStr">
        <is>
          <t>1</t>
        </is>
      </c>
      <c r="N33" s="16" t="n">
        <v>9</v>
      </c>
      <c r="O33" s="16" t="n">
        <v>1</v>
      </c>
      <c r="P33" s="17" t="inlineStr">
        <is>
          <t>Int 9 combo 1</t>
        </is>
      </c>
      <c r="Q33" s="25">
        <f>Inputs!G38</f>
        <v/>
      </c>
      <c r="R33" s="25">
        <f>Inputs!J38</f>
        <v/>
      </c>
      <c r="S33" s="25">
        <f>Inputs!K38</f>
        <v/>
      </c>
      <c r="T33" s="23" t="n">
        <v>0</v>
      </c>
    </row>
    <row r="34" ht="18" customHeight="1">
      <c r="B34" s="27" t="inlineStr">
        <is>
          <t>$O$60</t>
        </is>
      </c>
      <c r="C34" s="28" t="inlineStr">
        <is>
          <t>&lt;=</t>
        </is>
      </c>
      <c r="D34" s="28" t="inlineStr">
        <is>
          <t>1</t>
        </is>
      </c>
      <c r="N34" s="12" t="n">
        <v>9</v>
      </c>
      <c r="O34" s="12" t="n">
        <v>2</v>
      </c>
      <c r="P34" s="13" t="inlineStr">
        <is>
          <t>Int 9 combo 2</t>
        </is>
      </c>
      <c r="Q34" s="22">
        <f>Inputs!G39</f>
        <v/>
      </c>
      <c r="R34" s="22">
        <f>Inputs!J39</f>
        <v/>
      </c>
      <c r="S34" s="22">
        <f>Inputs!K39</f>
        <v/>
      </c>
      <c r="T34" s="23" t="n">
        <v>0</v>
      </c>
    </row>
    <row r="35" ht="18" customHeight="1">
      <c r="B35" s="27" t="inlineStr">
        <is>
          <t>$O$61</t>
        </is>
      </c>
      <c r="C35" s="28" t="inlineStr">
        <is>
          <t>&lt;=</t>
        </is>
      </c>
      <c r="D35" s="28" t="inlineStr">
        <is>
          <t>1</t>
        </is>
      </c>
      <c r="N35" s="16" t="n">
        <v>9</v>
      </c>
      <c r="O35" s="16" t="n">
        <v>3</v>
      </c>
      <c r="P35" s="17" t="inlineStr">
        <is>
          <t>Int 9 combo 3</t>
        </is>
      </c>
      <c r="Q35" s="25">
        <f>Inputs!G40</f>
        <v/>
      </c>
      <c r="R35" s="25">
        <f>Inputs!J40</f>
        <v/>
      </c>
      <c r="S35" s="25">
        <f>Inputs!K40</f>
        <v/>
      </c>
      <c r="T35" s="23" t="n">
        <v>0</v>
      </c>
    </row>
    <row r="36" ht="18" customHeight="1">
      <c r="B36" s="27" t="inlineStr">
        <is>
          <t>$O$62</t>
        </is>
      </c>
      <c r="C36" s="28" t="inlineStr">
        <is>
          <t>&lt;=</t>
        </is>
      </c>
      <c r="D36" s="28" t="inlineStr">
        <is>
          <t>1</t>
        </is>
      </c>
      <c r="N36" s="12" t="n">
        <v>10</v>
      </c>
      <c r="O36" s="12" t="n">
        <v>0</v>
      </c>
      <c r="P36" s="13" t="inlineStr">
        <is>
          <t>Int 10 combo 0</t>
        </is>
      </c>
      <c r="Q36" s="22">
        <f>Inputs!G41</f>
        <v/>
      </c>
      <c r="R36" s="22">
        <f>Inputs!J41</f>
        <v/>
      </c>
      <c r="S36" s="22">
        <f>Inputs!K41</f>
        <v/>
      </c>
      <c r="T36" s="23" t="n">
        <v>0</v>
      </c>
    </row>
    <row r="37" ht="18" customHeight="1">
      <c r="B37" s="27" t="inlineStr">
        <is>
          <t>$O$63</t>
        </is>
      </c>
      <c r="C37" s="28" t="inlineStr">
        <is>
          <t>&lt;=</t>
        </is>
      </c>
      <c r="D37" s="28" t="inlineStr">
        <is>
          <t>1</t>
        </is>
      </c>
      <c r="N37" s="16" t="n">
        <v>10</v>
      </c>
      <c r="O37" s="16" t="n">
        <v>1</v>
      </c>
      <c r="P37" s="17" t="inlineStr">
        <is>
          <t>Int 10 combo 1</t>
        </is>
      </c>
      <c r="Q37" s="25">
        <f>Inputs!G42</f>
        <v/>
      </c>
      <c r="R37" s="25">
        <f>Inputs!J42</f>
        <v/>
      </c>
      <c r="S37" s="25">
        <f>Inputs!K42</f>
        <v/>
      </c>
      <c r="T37" s="23" t="n">
        <v>0</v>
      </c>
    </row>
    <row r="38" ht="18" customHeight="1">
      <c r="B38" s="27" t="inlineStr">
        <is>
          <t>$O$64</t>
        </is>
      </c>
      <c r="C38" s="28" t="inlineStr">
        <is>
          <t>&lt;=</t>
        </is>
      </c>
      <c r="D38" s="28" t="inlineStr">
        <is>
          <t>1</t>
        </is>
      </c>
      <c r="N38" s="12" t="n">
        <v>11</v>
      </c>
      <c r="O38" s="12" t="n">
        <v>0</v>
      </c>
      <c r="P38" s="13" t="inlineStr">
        <is>
          <t>Int 11 combo 0</t>
        </is>
      </c>
      <c r="Q38" s="22">
        <f>Inputs!G43</f>
        <v/>
      </c>
      <c r="R38" s="22">
        <f>Inputs!J43</f>
        <v/>
      </c>
      <c r="S38" s="22">
        <f>Inputs!K43</f>
        <v/>
      </c>
      <c r="T38" s="23" t="n">
        <v>0</v>
      </c>
    </row>
    <row r="39" ht="18" customHeight="1">
      <c r="B39" s="27" t="inlineStr">
        <is>
          <t>$O$65</t>
        </is>
      </c>
      <c r="C39" s="28" t="inlineStr">
        <is>
          <t>&lt;=</t>
        </is>
      </c>
      <c r="D39" s="28" t="inlineStr">
        <is>
          <t>1</t>
        </is>
      </c>
      <c r="N39" s="16" t="n">
        <v>11</v>
      </c>
      <c r="O39" s="16" t="n">
        <v>1</v>
      </c>
      <c r="P39" s="17" t="inlineStr">
        <is>
          <t>Int 11 combo 1</t>
        </is>
      </c>
      <c r="Q39" s="25">
        <f>Inputs!G44</f>
        <v/>
      </c>
      <c r="R39" s="25">
        <f>Inputs!J44</f>
        <v/>
      </c>
      <c r="S39" s="25">
        <f>Inputs!K44</f>
        <v/>
      </c>
      <c r="T39" s="23" t="n">
        <v>0</v>
      </c>
    </row>
    <row r="40" ht="18" customHeight="1">
      <c r="B40" s="27" t="inlineStr">
        <is>
          <t>$O$66</t>
        </is>
      </c>
      <c r="C40" s="28" t="inlineStr">
        <is>
          <t>&lt;=</t>
        </is>
      </c>
      <c r="D40" s="28" t="inlineStr">
        <is>
          <t>1</t>
        </is>
      </c>
      <c r="N40" s="12" t="n">
        <v>12</v>
      </c>
      <c r="O40" s="12" t="n">
        <v>0</v>
      </c>
      <c r="P40" s="13" t="inlineStr">
        <is>
          <t>Int 12 combo 0</t>
        </is>
      </c>
      <c r="Q40" s="22">
        <f>Inputs!G45</f>
        <v/>
      </c>
      <c r="R40" s="22">
        <f>Inputs!J45</f>
        <v/>
      </c>
      <c r="S40" s="22">
        <f>Inputs!K45</f>
        <v/>
      </c>
      <c r="T40" s="23" t="n">
        <v>0</v>
      </c>
    </row>
    <row r="41" ht="18" customHeight="1">
      <c r="B41" s="27" t="inlineStr">
        <is>
          <t>$O$67</t>
        </is>
      </c>
      <c r="C41" s="28" t="inlineStr">
        <is>
          <t>&lt;=</t>
        </is>
      </c>
      <c r="D41" s="28" t="inlineStr">
        <is>
          <t>1</t>
        </is>
      </c>
      <c r="N41" s="16" t="n">
        <v>12</v>
      </c>
      <c r="O41" s="16" t="n">
        <v>1</v>
      </c>
      <c r="P41" s="17" t="inlineStr">
        <is>
          <t>Int 12 combo 1</t>
        </is>
      </c>
      <c r="Q41" s="25">
        <f>Inputs!G46</f>
        <v/>
      </c>
      <c r="R41" s="25">
        <f>Inputs!J46</f>
        <v/>
      </c>
      <c r="S41" s="25">
        <f>Inputs!K46</f>
        <v/>
      </c>
      <c r="T41" s="23" t="n">
        <v>0</v>
      </c>
    </row>
    <row r="42" ht="18" customHeight="1">
      <c r="B42" s="27" t="inlineStr">
        <is>
          <t>$O$68</t>
        </is>
      </c>
      <c r="C42" s="28" t="inlineStr">
        <is>
          <t>&lt;=</t>
        </is>
      </c>
      <c r="D42" s="28" t="inlineStr">
        <is>
          <t>1</t>
        </is>
      </c>
      <c r="N42" s="12" t="n">
        <v>12</v>
      </c>
      <c r="O42" s="12" t="n">
        <v>2</v>
      </c>
      <c r="P42" s="13" t="inlineStr">
        <is>
          <t>Int 12 combo 2</t>
        </is>
      </c>
      <c r="Q42" s="22">
        <f>Inputs!G47</f>
        <v/>
      </c>
      <c r="R42" s="22">
        <f>Inputs!J47</f>
        <v/>
      </c>
      <c r="S42" s="22">
        <f>Inputs!K47</f>
        <v/>
      </c>
      <c r="T42" s="23" t="n">
        <v>0</v>
      </c>
    </row>
    <row r="43" ht="18" customHeight="1">
      <c r="B43" s="27" t="inlineStr">
        <is>
          <t>$O$69</t>
        </is>
      </c>
      <c r="C43" s="28" t="inlineStr">
        <is>
          <t>&lt;=</t>
        </is>
      </c>
      <c r="D43" s="28" t="inlineStr">
        <is>
          <t>1</t>
        </is>
      </c>
      <c r="N43" s="16" t="n">
        <v>12</v>
      </c>
      <c r="O43" s="16" t="n">
        <v>3</v>
      </c>
      <c r="P43" s="17" t="inlineStr">
        <is>
          <t>Int 12 combo 3</t>
        </is>
      </c>
      <c r="Q43" s="25">
        <f>Inputs!G48</f>
        <v/>
      </c>
      <c r="R43" s="25">
        <f>Inputs!J48</f>
        <v/>
      </c>
      <c r="S43" s="25">
        <f>Inputs!K48</f>
        <v/>
      </c>
      <c r="T43" s="23" t="n">
        <v>0</v>
      </c>
    </row>
    <row r="44" ht="18" customHeight="1">
      <c r="B44" s="27" t="inlineStr">
        <is>
          <t>$O$70</t>
        </is>
      </c>
      <c r="C44" s="28" t="inlineStr">
        <is>
          <t>&lt;=</t>
        </is>
      </c>
      <c r="D44" s="28" t="inlineStr">
        <is>
          <t>1</t>
        </is>
      </c>
      <c r="N44" s="12" t="n">
        <v>13</v>
      </c>
      <c r="O44" s="12" t="n">
        <v>0</v>
      </c>
      <c r="P44" s="13" t="inlineStr">
        <is>
          <t>Int 13 combo 0</t>
        </is>
      </c>
      <c r="Q44" s="22">
        <f>Inputs!G49</f>
        <v/>
      </c>
      <c r="R44" s="22">
        <f>Inputs!J49</f>
        <v/>
      </c>
      <c r="S44" s="22">
        <f>Inputs!K49</f>
        <v/>
      </c>
      <c r="T44" s="23" t="n">
        <v>0</v>
      </c>
    </row>
    <row r="45" ht="18" customHeight="1">
      <c r="B45" s="27" t="inlineStr">
        <is>
          <t>$O$71</t>
        </is>
      </c>
      <c r="C45" s="28" t="inlineStr">
        <is>
          <t>&lt;=</t>
        </is>
      </c>
      <c r="D45" s="28" t="inlineStr">
        <is>
          <t>1</t>
        </is>
      </c>
      <c r="N45" s="16" t="n">
        <v>13</v>
      </c>
      <c r="O45" s="16" t="n">
        <v>1</v>
      </c>
      <c r="P45" s="17" t="inlineStr">
        <is>
          <t>Int 13 combo 1</t>
        </is>
      </c>
      <c r="Q45" s="25">
        <f>Inputs!G50</f>
        <v/>
      </c>
      <c r="R45" s="25">
        <f>Inputs!J50</f>
        <v/>
      </c>
      <c r="S45" s="25">
        <f>Inputs!K50</f>
        <v/>
      </c>
      <c r="T45" s="23" t="n">
        <v>0</v>
      </c>
    </row>
    <row r="46" ht="18" customHeight="1">
      <c r="N46" s="12" t="n">
        <v>13</v>
      </c>
      <c r="O46" s="12" t="n">
        <v>2</v>
      </c>
      <c r="P46" s="13" t="inlineStr">
        <is>
          <t>Int 13 combo 2</t>
        </is>
      </c>
      <c r="Q46" s="22">
        <f>Inputs!G51</f>
        <v/>
      </c>
      <c r="R46" s="22">
        <f>Inputs!J51</f>
        <v/>
      </c>
      <c r="S46" s="22">
        <f>Inputs!K51</f>
        <v/>
      </c>
      <c r="T46" s="23" t="n">
        <v>0</v>
      </c>
    </row>
    <row r="47" ht="22" customHeight="1">
      <c r="B47" s="21" t="inlineStr">
        <is>
          <t>Bottom of dialog</t>
        </is>
      </c>
      <c r="N47" s="16" t="n">
        <v>13</v>
      </c>
      <c r="O47" s="16" t="n">
        <v>3</v>
      </c>
      <c r="P47" s="17" t="inlineStr">
        <is>
          <t>Int 13 combo 3</t>
        </is>
      </c>
      <c r="Q47" s="25">
        <f>Inputs!G52</f>
        <v/>
      </c>
      <c r="R47" s="25">
        <f>Inputs!J52</f>
        <v/>
      </c>
      <c r="S47" s="25">
        <f>Inputs!K52</f>
        <v/>
      </c>
      <c r="T47" s="23" t="n">
        <v>0</v>
      </c>
    </row>
    <row r="48" ht="18" customHeight="1">
      <c r="B48" s="13" t="inlineStr">
        <is>
          <t>Make Unconstrained Vars Non-Negative</t>
        </is>
      </c>
      <c r="C48" s="27" t="inlineStr">
        <is>
          <t>checked (default)</t>
        </is>
      </c>
      <c r="N48" s="12" t="n">
        <v>13</v>
      </c>
      <c r="O48" s="12" t="n">
        <v>4</v>
      </c>
      <c r="P48" s="13" t="inlineStr">
        <is>
          <t>Int 13 combo 4</t>
        </is>
      </c>
      <c r="Q48" s="22">
        <f>Inputs!G53</f>
        <v/>
      </c>
      <c r="R48" s="22">
        <f>Inputs!J53</f>
        <v/>
      </c>
      <c r="S48" s="22">
        <f>Inputs!K53</f>
        <v/>
      </c>
      <c r="T48" s="23" t="n">
        <v>0</v>
      </c>
    </row>
    <row r="49" ht="18" customHeight="1">
      <c r="B49" s="13" t="inlineStr">
        <is>
          <t>Solving Method</t>
        </is>
      </c>
      <c r="C49" s="27" t="inlineStr">
        <is>
          <t>Simplex LP</t>
        </is>
      </c>
    </row>
    <row r="51" ht="24" customHeight="1">
      <c r="N51" s="2" t="inlineStr">
        <is>
          <t>Aggregates</t>
        </is>
      </c>
    </row>
    <row r="52" ht="18" customHeight="1">
      <c r="N52" s="5" t="inlineStr">
        <is>
          <t>Total cost</t>
        </is>
      </c>
      <c r="Q52" s="15">
        <f>SUMPRODUCT(Q6:Q48,T6:T48)</f>
        <v/>
      </c>
    </row>
    <row r="53" ht="18" customHeight="1">
      <c r="N53" s="5" t="inlineStr">
        <is>
          <t>Total benefit</t>
        </is>
      </c>
      <c r="Q53" s="15">
        <f>SUMPRODUCT(R6:R48,T6:T48)</f>
        <v/>
      </c>
    </row>
    <row r="54" ht="22" customHeight="1">
      <c r="N54" s="29" t="inlineStr">
        <is>
          <t>Net benefit (objective)</t>
        </is>
      </c>
      <c r="Q54" s="30">
        <f>SUMPRODUCT(S6:S48,T6:T48)</f>
        <v/>
      </c>
    </row>
    <row r="57" ht="24" customHeight="1">
      <c r="N57" s="2" t="inlineStr">
        <is>
          <t>Pick at most one alternative per site</t>
        </is>
      </c>
    </row>
    <row r="58" ht="22" customHeight="1">
      <c r="N58" s="11" t="inlineStr">
        <is>
          <t>Intersection</t>
        </is>
      </c>
      <c r="O58" s="11" t="inlineStr">
        <is>
          <t>Sum of decisions</t>
        </is>
      </c>
      <c r="P58" s="11" t="inlineStr">
        <is>
          <t>Limit</t>
        </is>
      </c>
    </row>
    <row r="59" ht="18" customHeight="1">
      <c r="N59" s="12" t="n">
        <v>1</v>
      </c>
      <c r="O59" s="31">
        <f>SUM(T6,T7,T8,T9)</f>
        <v/>
      </c>
      <c r="P59" s="32" t="n">
        <v>1</v>
      </c>
    </row>
    <row r="60" ht="18" customHeight="1">
      <c r="N60" s="16" t="n">
        <v>2</v>
      </c>
      <c r="O60" s="33">
        <f>SUM(T10,T11,T12,T13)</f>
        <v/>
      </c>
      <c r="P60" s="34" t="n">
        <v>1</v>
      </c>
    </row>
    <row r="61" ht="18" customHeight="1">
      <c r="N61" s="12" t="n">
        <v>3</v>
      </c>
      <c r="O61" s="31">
        <f>SUM(T14,T15)</f>
        <v/>
      </c>
      <c r="P61" s="32" t="n">
        <v>1</v>
      </c>
    </row>
    <row r="62" ht="18" customHeight="1">
      <c r="N62" s="16" t="n">
        <v>4</v>
      </c>
      <c r="O62" s="33">
        <f>SUM(T16,T17)</f>
        <v/>
      </c>
      <c r="P62" s="34" t="n">
        <v>1</v>
      </c>
    </row>
    <row r="63" ht="18" customHeight="1">
      <c r="N63" s="12" t="n">
        <v>5</v>
      </c>
      <c r="O63" s="31">
        <f>SUM(T18,T19,T20,T21)</f>
        <v/>
      </c>
      <c r="P63" s="32" t="n">
        <v>1</v>
      </c>
    </row>
    <row r="64" ht="18" customHeight="1">
      <c r="N64" s="16" t="n">
        <v>6</v>
      </c>
      <c r="O64" s="33">
        <f>SUM(T22,T23,T24,T25)</f>
        <v/>
      </c>
      <c r="P64" s="34" t="n">
        <v>1</v>
      </c>
    </row>
    <row r="65" ht="18" customHeight="1">
      <c r="N65" s="12" t="n">
        <v>7</v>
      </c>
      <c r="O65" s="31">
        <f>SUM(T26,T27,T28,T29)</f>
        <v/>
      </c>
      <c r="P65" s="32" t="n">
        <v>1</v>
      </c>
    </row>
    <row r="66" ht="18" customHeight="1">
      <c r="N66" s="16" t="n">
        <v>8</v>
      </c>
      <c r="O66" s="33">
        <f>SUM(T30,T31)</f>
        <v/>
      </c>
      <c r="P66" s="34" t="n">
        <v>1</v>
      </c>
    </row>
    <row r="67" ht="18" customHeight="1">
      <c r="N67" s="12" t="n">
        <v>9</v>
      </c>
      <c r="O67" s="31">
        <f>SUM(T32,T33,T34,T35)</f>
        <v/>
      </c>
      <c r="P67" s="32" t="n">
        <v>1</v>
      </c>
    </row>
    <row r="68" ht="18" customHeight="1">
      <c r="N68" s="16" t="n">
        <v>10</v>
      </c>
      <c r="O68" s="33">
        <f>SUM(T36,T37)</f>
        <v/>
      </c>
      <c r="P68" s="34" t="n">
        <v>1</v>
      </c>
    </row>
    <row r="69" ht="18" customHeight="1">
      <c r="N69" s="12" t="n">
        <v>11</v>
      </c>
      <c r="O69" s="31">
        <f>SUM(T38,T39)</f>
        <v/>
      </c>
      <c r="P69" s="32" t="n">
        <v>1</v>
      </c>
    </row>
    <row r="70" ht="18" customHeight="1">
      <c r="N70" s="16" t="n">
        <v>12</v>
      </c>
      <c r="O70" s="33">
        <f>SUM(T40,T41,T42,T43)</f>
        <v/>
      </c>
      <c r="P70" s="34" t="n">
        <v>1</v>
      </c>
    </row>
    <row r="71" ht="18" customHeight="1">
      <c r="N71" s="12" t="n">
        <v>13</v>
      </c>
      <c r="O71" s="31">
        <f>SUM(T44,T45,T46,T47,T48)</f>
        <v/>
      </c>
      <c r="P71" s="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</cols>
  <sheetData>
    <row r="2" ht="22" customHeight="1">
      <c r="B2" s="1" t="inlineStr">
        <is>
          <t>Results</t>
        </is>
      </c>
    </row>
    <row r="4">
      <c r="B4" s="2" t="inlineStr">
        <is>
          <t>Summary</t>
        </is>
      </c>
    </row>
    <row r="5">
      <c r="B5" s="29" t="inlineStr">
        <is>
          <t>Match indicator</t>
        </is>
      </c>
      <c r="C5" s="35">
        <f>IF(SUM(Optimization!T6:T48)=0,"Run Solver",IF(ROUND(Optimization!Q54,0)=ROUND(D5,0),"PASS","FAIL"))</f>
        <v/>
      </c>
      <c r="D5" s="6" t="n">
        <v>5177251</v>
      </c>
    </row>
    <row r="7">
      <c r="B7" s="36" t="inlineStr">
        <is>
          <t>Quantity</t>
        </is>
      </c>
      <c r="C7" s="36" t="inlineStr">
        <is>
          <t>Solver result</t>
        </is>
      </c>
      <c r="D7" s="36" t="inlineStr">
        <is>
          <t>Expected</t>
        </is>
      </c>
    </row>
    <row r="8">
      <c r="B8" s="5" t="inlineStr">
        <is>
          <t>Total cost</t>
        </is>
      </c>
      <c r="C8" s="37">
        <f>Optimization!Q52</f>
        <v/>
      </c>
      <c r="D8" s="6" t="n">
        <v>3200000</v>
      </c>
    </row>
    <row r="9">
      <c r="B9" s="5" t="inlineStr">
        <is>
          <t>Total net benefit</t>
        </is>
      </c>
      <c r="C9" s="37">
        <f>Optimization!Q54</f>
        <v/>
      </c>
      <c r="D9" s="6" t="n">
        <v>5177251</v>
      </c>
    </row>
    <row r="11">
      <c r="B11" s="2" t="inlineStr">
        <is>
          <t>Selected alternatives</t>
        </is>
      </c>
    </row>
    <row r="12">
      <c r="B12" s="36" t="inlineStr">
        <is>
          <t>Intersection</t>
        </is>
      </c>
      <c r="C12" s="36" t="inlineStr">
        <is>
          <t>Alt</t>
        </is>
      </c>
      <c r="D12" s="36" t="inlineStr">
        <is>
          <t>Description</t>
        </is>
      </c>
    </row>
    <row r="13">
      <c r="B13" s="38" t="n">
        <v>1</v>
      </c>
      <c r="C13" s="39">
        <f>Optimization!T6*Optimization!O6+Optimization!T7*Optimization!O7+Optimization!T8*Optimization!O8+Optimization!T9*Optimization!O9</f>
        <v/>
      </c>
      <c r="D13" s="40">
        <f>IF(Optimization!T6=1,Optimization!P6,IF(Optimization!T7=1,Optimization!P7,IF(Optimization!T8=1,Optimization!P8,IF(Optimization!T9=1,Optimization!P9,"(none selected)"))))</f>
        <v/>
      </c>
    </row>
    <row r="14">
      <c r="B14" s="38" t="n">
        <v>2</v>
      </c>
      <c r="C14" s="39">
        <f>Optimization!T10*Optimization!O10+Optimization!T11*Optimization!O11+Optimization!T12*Optimization!O12+Optimization!T13*Optimization!O13</f>
        <v/>
      </c>
      <c r="D14" s="40">
        <f>IF(Optimization!T10=1,Optimization!P10,IF(Optimization!T11=1,Optimization!P11,IF(Optimization!T12=1,Optimization!P12,IF(Optimization!T13=1,Optimization!P13,"(none selected)"))))</f>
        <v/>
      </c>
    </row>
    <row r="15">
      <c r="B15" s="38" t="n">
        <v>3</v>
      </c>
      <c r="C15" s="39">
        <f>Optimization!T14*Optimization!O14+Optimization!T15*Optimization!O15</f>
        <v/>
      </c>
      <c r="D15" s="40">
        <f>IF(Optimization!T14=1,Optimization!P14,IF(Optimization!T15=1,Optimization!P15,"(none selected)"))</f>
        <v/>
      </c>
    </row>
    <row r="16">
      <c r="B16" s="38" t="n">
        <v>4</v>
      </c>
      <c r="C16" s="39">
        <f>Optimization!T16*Optimization!O16+Optimization!T17*Optimization!O17</f>
        <v/>
      </c>
      <c r="D16" s="40">
        <f>IF(Optimization!T16=1,Optimization!P16,IF(Optimization!T17=1,Optimization!P17,"(none selected)"))</f>
        <v/>
      </c>
    </row>
    <row r="17">
      <c r="B17" s="38" t="n">
        <v>5</v>
      </c>
      <c r="C17" s="39">
        <f>Optimization!T18*Optimization!O18+Optimization!T19*Optimization!O19+Optimization!T20*Optimization!O20+Optimization!T21*Optimization!O21</f>
        <v/>
      </c>
      <c r="D17" s="40">
        <f>IF(Optimization!T18=1,Optimization!P18,IF(Optimization!T19=1,Optimization!P19,IF(Optimization!T20=1,Optimization!P20,IF(Optimization!T21=1,Optimization!P21,"(none selected)"))))</f>
        <v/>
      </c>
    </row>
    <row r="18">
      <c r="B18" s="38" t="n">
        <v>6</v>
      </c>
      <c r="C18" s="39">
        <f>Optimization!T22*Optimization!O22+Optimization!T23*Optimization!O23+Optimization!T24*Optimization!O24+Optimization!T25*Optimization!O25</f>
        <v/>
      </c>
      <c r="D18" s="40">
        <f>IF(Optimization!T22=1,Optimization!P22,IF(Optimization!T23=1,Optimization!P23,IF(Optimization!T24=1,Optimization!P24,IF(Optimization!T25=1,Optimization!P25,"(none selected)"))))</f>
        <v/>
      </c>
    </row>
    <row r="19">
      <c r="B19" s="38" t="n">
        <v>7</v>
      </c>
      <c r="C19" s="39">
        <f>Optimization!T26*Optimization!O26+Optimization!T27*Optimization!O27+Optimization!T28*Optimization!O28+Optimization!T29*Optimization!O29</f>
        <v/>
      </c>
      <c r="D19" s="40">
        <f>IF(Optimization!T26=1,Optimization!P26,IF(Optimization!T27=1,Optimization!P27,IF(Optimization!T28=1,Optimization!P28,IF(Optimization!T29=1,Optimization!P29,"(none selected)"))))</f>
        <v/>
      </c>
    </row>
    <row r="20">
      <c r="B20" s="38" t="n">
        <v>8</v>
      </c>
      <c r="C20" s="39">
        <f>Optimization!T30*Optimization!O30+Optimization!T31*Optimization!O31</f>
        <v/>
      </c>
      <c r="D20" s="40">
        <f>IF(Optimization!T30=1,Optimization!P30,IF(Optimization!T31=1,Optimization!P31,"(none selected)"))</f>
        <v/>
      </c>
    </row>
    <row r="21">
      <c r="B21" s="38" t="n">
        <v>9</v>
      </c>
      <c r="C21" s="39">
        <f>Optimization!T32*Optimization!O32+Optimization!T33*Optimization!O33+Optimization!T34*Optimization!O34+Optimization!T35*Optimization!O35</f>
        <v/>
      </c>
      <c r="D21" s="40">
        <f>IF(Optimization!T32=1,Optimization!P32,IF(Optimization!T33=1,Optimization!P33,IF(Optimization!T34=1,Optimization!P34,IF(Optimization!T35=1,Optimization!P35,"(none selected)"))))</f>
        <v/>
      </c>
    </row>
    <row r="22">
      <c r="B22" s="38" t="n">
        <v>10</v>
      </c>
      <c r="C22" s="39">
        <f>Optimization!T36*Optimization!O36+Optimization!T37*Optimization!O37</f>
        <v/>
      </c>
      <c r="D22" s="40">
        <f>IF(Optimization!T36=1,Optimization!P36,IF(Optimization!T37=1,Optimization!P37,"(none selected)"))</f>
        <v/>
      </c>
    </row>
    <row r="23">
      <c r="B23" s="38" t="n">
        <v>11</v>
      </c>
      <c r="C23" s="39">
        <f>Optimization!T38*Optimization!O38+Optimization!T39*Optimization!O39</f>
        <v/>
      </c>
      <c r="D23" s="40">
        <f>IF(Optimization!T38=1,Optimization!P38,IF(Optimization!T39=1,Optimization!P39,"(none selected)"))</f>
        <v/>
      </c>
    </row>
    <row r="24">
      <c r="B24" s="38" t="n">
        <v>12</v>
      </c>
      <c r="C24" s="39">
        <f>Optimization!T40*Optimization!O40+Optimization!T41*Optimization!O41+Optimization!T42*Optimization!O42+Optimization!T43*Optimization!O43</f>
        <v/>
      </c>
      <c r="D24" s="40">
        <f>IF(Optimization!T40=1,Optimization!P40,IF(Optimization!T41=1,Optimization!P41,IF(Optimization!T42=1,Optimization!P42,IF(Optimization!T43=1,Optimization!P43,"(none selected)"))))</f>
        <v/>
      </c>
    </row>
    <row r="25">
      <c r="B25" s="38" t="n">
        <v>13</v>
      </c>
      <c r="C25" s="39">
        <f>Optimization!T44*Optimization!O44+Optimization!T45*Optimization!O45+Optimization!T46*Optimization!O46+Optimization!T47*Optimization!O47+Optimization!T48*Optimization!O48</f>
        <v/>
      </c>
      <c r="D25" s="40">
        <f>IF(Optimization!T44=1,Optimization!P44,IF(Optimization!T45=1,Optimization!P45,IF(Optimization!T46=1,Optimization!P46,IF(Optimization!T47=1,Optimization!P47,IF(Optimization!T48=1,Optimization!P48,"(none selected)")))))</f>
        <v/>
      </c>
    </row>
  </sheetData>
  <conditionalFormatting sqref="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"Run Solver"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Siddiqui, Ameen</dc:creator>
  <dc:title xmlns:dc="http://purl.org/dc/elements/1.1/">MCBOMs Banihashemi (2007) Intersection Sub-Problem — Excel Validation</dc:title>
  <dc:description xmlns:dc="http://purl.org/dc/elements/1.1/">Texas A&amp;M Transportation Institute. Excel implementation of the MCBOMs MILP (Chapter 2 of the Methodology; Python in optimizer.py) for the Banihashemi (2007) 13-intersection sub-problem at the $12M budget. Expected net benefit $5,177,251.</dc:description>
  <dc:subject xmlns:dc="http://purl.org/dc/elements/1.1/">MCBOMs Task 4 Deliverable</dc:subject>
  <dcterms:created xmlns:dcterms="http://purl.org/dc/terms/" xmlns:xsi="http://www.w3.org/2001/XMLSchema-instance" xsi:type="dcterms:W3CDTF">2026-04-27T22:54:47Z</dcterms:created>
  <dcterms:modified xmlns:dcterms="http://purl.org/dc/terms/" xmlns:xsi="http://www.w3.org/2001/XMLSchema-instance" xsi:type="dcterms:W3CDTF">2026-04-27T22:54:47Z</dcterms:modified>
  <cp:lastModifiedBy>Siddiqui, Ameen</cp:lastModifiedBy>
  <cp:category>MCBOMs Validation Workbooks</cp:category>
  <cp:keywords>MCBOMs MILP Excel Solver FHWA Task 4 validation TTI</cp:keywords>
</cp:coreProperties>
</file>

<file path=docProps/custom.xml><?xml version="1.0" encoding="utf-8"?>
<Properties xmlns="http://schemas.openxmlformats.org/officeDocument/2006/custom-properties">
  <property name="Company" fmtid="{D5CDD505-2E9C-101B-9397-08002B2CF9AE}" pid="2">
    <vt:lpwstr xmlns:vt="http://schemas.openxmlformats.org/officeDocument/2006/docPropsVTypes">Texas A&amp;M Transportation Institute</vt:lpwstr>
  </property>
</Properties>
</file>